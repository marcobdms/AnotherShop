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rco\Desktop\proyectos\anothershop\"/>
    </mc:Choice>
  </mc:AlternateContent>
  <xr:revisionPtr revIDLastSave="0" documentId="8_{28067CC0-569E-41AD-B520-AD6AC9BCFAC8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Catálogo" sheetId="3" r:id="rId1"/>
    <sheet name="Ventas" sheetId="4" r:id="rId2"/>
  </sheets>
  <definedNames>
    <definedName name="_xlnm._FilterDatabase" localSheetId="0" hidden="1">Catálogo!$A$1:$P$76</definedName>
    <definedName name="_xlnm._FilterDatabase" localSheetId="1" hidden="1">Ventas!$A$2:$G$116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4" l="1"/>
  <c r="D70" i="4"/>
  <c r="D93" i="4"/>
  <c r="D99" i="4" s="1"/>
  <c r="D83" i="4"/>
  <c r="E70" i="4"/>
  <c r="J20" i="4"/>
  <c r="J19" i="4"/>
  <c r="D81" i="4"/>
  <c r="E2" i="3"/>
  <c r="F2" i="3"/>
  <c r="E6" i="3"/>
  <c r="C18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E3" i="3"/>
  <c r="F3" i="3"/>
  <c r="E4" i="3"/>
  <c r="F4" i="3"/>
  <c r="E5" i="3"/>
  <c r="F5" i="3"/>
  <c r="F6" i="3"/>
  <c r="E7" i="3"/>
  <c r="F7" i="3"/>
  <c r="E8" i="3"/>
  <c r="F8" i="3"/>
  <c r="F9" i="3"/>
  <c r="F10" i="3"/>
  <c r="F11" i="3"/>
  <c r="F12" i="3"/>
  <c r="F13" i="3"/>
  <c r="F14" i="3"/>
  <c r="F15" i="3"/>
  <c r="F16" i="3"/>
  <c r="F17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0" i="4" l="1"/>
  <c r="D85" i="4"/>
</calcChain>
</file>

<file path=xl/sharedStrings.xml><?xml version="1.0" encoding="utf-8"?>
<sst xmlns="http://schemas.openxmlformats.org/spreadsheetml/2006/main" count="854" uniqueCount="375">
  <si>
    <t>ID</t>
  </si>
  <si>
    <t>falsembre</t>
  </si>
  <si>
    <t>Precio (€)</t>
  </si>
  <si>
    <t>descto</t>
  </si>
  <si>
    <t>costo +120%</t>
  </si>
  <si>
    <t>precio ajustado</t>
  </si>
  <si>
    <t>Género</t>
  </si>
  <si>
    <t>Tallas</t>
  </si>
  <si>
    <t>Descripción / Color</t>
  </si>
  <si>
    <t>Disponible</t>
  </si>
  <si>
    <t>Marca</t>
  </si>
  <si>
    <t>Imagen (ruta)</t>
  </si>
  <si>
    <t>Meta ID</t>
  </si>
  <si>
    <t>004</t>
  </si>
  <si>
    <t>CAMISETA GRUESA 2.0 DE CALIDAD SUPERIOR</t>
  </si>
  <si>
    <t>hombre</t>
  </si>
  <si>
    <t>XS, S, M, L</t>
  </si>
  <si>
    <t>S</t>
  </si>
  <si>
    <t>false</t>
  </si>
  <si>
    <t>Abercrombie</t>
  </si>
  <si>
    <t>/images/004.jpg</t>
  </si>
  <si>
    <t>25424788433865795</t>
  </si>
  <si>
    <t>paola</t>
  </si>
  <si>
    <t>005</t>
  </si>
  <si>
    <t>CAMISETA GRUESA PREMIUM HANLEY 2.0 CON ICOfalse EXCLUtrueVO</t>
  </si>
  <si>
    <t>S, Marrón</t>
  </si>
  <si>
    <t>/images/005.jpg</t>
  </si>
  <si>
    <t>25550630044633664</t>
  </si>
  <si>
    <t>006</t>
  </si>
  <si>
    <t>CAMISETA GRUESA PREMIUM CON MICROLOGO</t>
  </si>
  <si>
    <t>L, Blanco</t>
  </si>
  <si>
    <t>/images/006.jpg</t>
  </si>
  <si>
    <t>25799504339743746</t>
  </si>
  <si>
    <t>diego</t>
  </si>
  <si>
    <t>007</t>
  </si>
  <si>
    <t>L, Azul</t>
  </si>
  <si>
    <t>/images/007.jpg</t>
  </si>
  <si>
    <t>25965854363081895</t>
  </si>
  <si>
    <t>monica</t>
  </si>
  <si>
    <t>008</t>
  </si>
  <si>
    <t>SUDADERA DE FELPA CON CAPUCHA E ICOfalse FRENCH TERRY</t>
  </si>
  <si>
    <t>S, Negro</t>
  </si>
  <si>
    <t>/images/008.jpg</t>
  </si>
  <si>
    <t>26198244456529366</t>
  </si>
  <si>
    <t>jawuard</t>
  </si>
  <si>
    <t>009</t>
  </si>
  <si>
    <t>POLO CON ICOfalse INtrueGNIA DON'T SWEAT IT</t>
  </si>
  <si>
    <t>M</t>
  </si>
  <si>
    <t xml:space="preserve">false </t>
  </si>
  <si>
    <t>/images/009.jpg</t>
  </si>
  <si>
    <t>26350526831238940</t>
  </si>
  <si>
    <t>STEFANY</t>
  </si>
  <si>
    <t>010</t>
  </si>
  <si>
    <t>XS</t>
  </si>
  <si>
    <t>/images/010.jpg</t>
  </si>
  <si>
    <t>26588206910803008</t>
  </si>
  <si>
    <t>021</t>
  </si>
  <si>
    <t>CAMISETA ALGODÓN MANGA CORTA</t>
  </si>
  <si>
    <t>mujer</t>
  </si>
  <si>
    <t>/images/021.jpg</t>
  </si>
  <si>
    <t>25023273517345942</t>
  </si>
  <si>
    <t>022</t>
  </si>
  <si>
    <t>CAMISETA DE ALGODÓN LOGO</t>
  </si>
  <si>
    <t>true</t>
  </si>
  <si>
    <t>/images/022.jpg</t>
  </si>
  <si>
    <t>25525829207073436</t>
  </si>
  <si>
    <t>023</t>
  </si>
  <si>
    <t>/images/023.jpg</t>
  </si>
  <si>
    <t>25534260112943373</t>
  </si>
  <si>
    <t>024</t>
  </si>
  <si>
    <t>VESTIDO HALTER ESTAMPADO PALMERAS</t>
  </si>
  <si>
    <t>/images/024.jpg</t>
  </si>
  <si>
    <t>25555063860781931</t>
  </si>
  <si>
    <t>025</t>
  </si>
  <si>
    <t>CAMISETA DE RAYAS LOGO</t>
  </si>
  <si>
    <t>/images/025.jpg</t>
  </si>
  <si>
    <t>25664951696494528</t>
  </si>
  <si>
    <t>026</t>
  </si>
  <si>
    <t>TOP ENTALLADO TIRANTE ANCHOS</t>
  </si>
  <si>
    <t>/images/026.jpg</t>
  </si>
  <si>
    <t>25665412729784110</t>
  </si>
  <si>
    <t xml:space="preserve">ESTEFANY </t>
  </si>
  <si>
    <t>PAGO</t>
  </si>
  <si>
    <t>027</t>
  </si>
  <si>
    <t>CAMISETA ALGODÓN ESTAMPADA</t>
  </si>
  <si>
    <t>/images/027.jpg</t>
  </si>
  <si>
    <t>25757383887204557</t>
  </si>
  <si>
    <t>nayim</t>
  </si>
  <si>
    <t>028</t>
  </si>
  <si>
    <t>TARJETERO ESTAMPADO LOGO</t>
  </si>
  <si>
    <t>Talla unica</t>
  </si>
  <si>
    <t>/images/028.jpg</t>
  </si>
  <si>
    <t>25905486475806885</t>
  </si>
  <si>
    <t>elena</t>
  </si>
  <si>
    <t>029</t>
  </si>
  <si>
    <t>/images/029.jpg</t>
  </si>
  <si>
    <t>26155621380697173</t>
  </si>
  <si>
    <t>030</t>
  </si>
  <si>
    <t>TOP ENTALLADOO CREMALLERA</t>
  </si>
  <si>
    <t>pendiente</t>
  </si>
  <si>
    <t>/images/030.jpg</t>
  </si>
  <si>
    <t>26596835939903079</t>
  </si>
  <si>
    <t>lismar</t>
  </si>
  <si>
    <t>031</t>
  </si>
  <si>
    <t>/images/031.jpg</t>
  </si>
  <si>
    <t>26799701199629971</t>
  </si>
  <si>
    <t>032</t>
  </si>
  <si>
    <t>TOP ENTALLADO TIRANTES ANCHOS</t>
  </si>
  <si>
    <t>/images/032.jpg</t>
  </si>
  <si>
    <t>26811447431779090</t>
  </si>
  <si>
    <t>033</t>
  </si>
  <si>
    <t>TOP ABERTURA ESPALDA</t>
  </si>
  <si>
    <t>/images/033.jpg</t>
  </si>
  <si>
    <t>33611164505165989</t>
  </si>
  <si>
    <t>034</t>
  </si>
  <si>
    <t>TOP AtrueMÉTRICO RIBETE CONTRASTE</t>
  </si>
  <si>
    <t>/images/034.jpg</t>
  </si>
  <si>
    <t>33720476790931350</t>
  </si>
  <si>
    <t>035</t>
  </si>
  <si>
    <t>CAMISETA HOMBRERAS MANGA CORTA</t>
  </si>
  <si>
    <t>/images/035.jpg</t>
  </si>
  <si>
    <t>33971599565771971</t>
  </si>
  <si>
    <t>036</t>
  </si>
  <si>
    <t>/images/036.jpg</t>
  </si>
  <si>
    <t>34097045156553516</t>
  </si>
  <si>
    <t>037</t>
  </si>
  <si>
    <t>VESTIDO CORTO HALTER</t>
  </si>
  <si>
    <t>/images/037.jpg</t>
  </si>
  <si>
    <t>25435934449439316</t>
  </si>
  <si>
    <t>038</t>
  </si>
  <si>
    <t>VESTIDO TERCIOPELO CUELLO ESCOTADO</t>
  </si>
  <si>
    <t>/images/038.jpg</t>
  </si>
  <si>
    <t>25474787365527035</t>
  </si>
  <si>
    <t>039</t>
  </si>
  <si>
    <t>CHALECO TERCIOPELO CROP</t>
  </si>
  <si>
    <t>/images/039.jpg</t>
  </si>
  <si>
    <t>25481784458160372</t>
  </si>
  <si>
    <t>040</t>
  </si>
  <si>
    <t>CAMISETA ALGODÓN ESTAMPADO</t>
  </si>
  <si>
    <t>/images/040.jpg</t>
  </si>
  <si>
    <t>25561087733561037</t>
  </si>
  <si>
    <t>041</t>
  </si>
  <si>
    <t>VESTIDO TIRANTES PUNTO</t>
  </si>
  <si>
    <t>/images/041.jpg</t>
  </si>
  <si>
    <t>25564059546596405</t>
  </si>
  <si>
    <t>042</t>
  </si>
  <si>
    <t>CAMISETA ALGODÓN LOGO</t>
  </si>
  <si>
    <t>/images/042.jpg</t>
  </si>
  <si>
    <t>25605151559140140</t>
  </si>
  <si>
    <t>043</t>
  </si>
  <si>
    <t>BLUSA LENTEJUELAS HOMBROS DESCUBIERTOS</t>
  </si>
  <si>
    <t>/images/043.jpg</t>
  </si>
  <si>
    <t>25609021748793371</t>
  </si>
  <si>
    <t>044</t>
  </si>
  <si>
    <t>PASADOR LAZO BORDADO</t>
  </si>
  <si>
    <t>/images/044.jpg</t>
  </si>
  <si>
    <t>25622553320738963</t>
  </si>
  <si>
    <t>045</t>
  </si>
  <si>
    <t>VESTIDO MIDI DETALLE DRAPEADO</t>
  </si>
  <si>
    <t>/images/045.jpg</t>
  </si>
  <si>
    <t>25817166254586006</t>
  </si>
  <si>
    <t>046</t>
  </si>
  <si>
    <t>TOP SATINADO TIRANTES FIfalseS</t>
  </si>
  <si>
    <t>/images/046.jpg</t>
  </si>
  <si>
    <t>25908666012101512</t>
  </si>
  <si>
    <t>047</t>
  </si>
  <si>
    <t>TOP FRUNCIDO PALABRA DE HOfalseR</t>
  </si>
  <si>
    <t>/images/047.jpg</t>
  </si>
  <si>
    <t>25917756987819223</t>
  </si>
  <si>
    <t>048</t>
  </si>
  <si>
    <t>CAMISETA CROP RAYAS</t>
  </si>
  <si>
    <t>/images/048.jpg</t>
  </si>
  <si>
    <t>25931697119797925</t>
  </si>
  <si>
    <t>049</t>
  </si>
  <si>
    <t>/images/049.jpg</t>
  </si>
  <si>
    <t>26044964881808129</t>
  </si>
  <si>
    <t>050</t>
  </si>
  <si>
    <t>VESTIDO FORRO CORTO PALABRA DE HOfalseR</t>
  </si>
  <si>
    <t>/images/050.jpg</t>
  </si>
  <si>
    <t>26143200852035266</t>
  </si>
  <si>
    <t>051</t>
  </si>
  <si>
    <t>FUNDA PORTÁTIL LOGO</t>
  </si>
  <si>
    <t>/images/051.jpg</t>
  </si>
  <si>
    <t>26380574861591546</t>
  </si>
  <si>
    <t>052</t>
  </si>
  <si>
    <t>TOP PUNTO DETALLES CONTRASTE</t>
  </si>
  <si>
    <t>/images/052.jpg</t>
  </si>
  <si>
    <t>26416294184638953</t>
  </si>
  <si>
    <t>053</t>
  </si>
  <si>
    <t>CAMISETA ALGODÓN MENSAJE ESTAMPADO</t>
  </si>
  <si>
    <t>/images/053.jpg</t>
  </si>
  <si>
    <t>26426315570305196</t>
  </si>
  <si>
    <t>054</t>
  </si>
  <si>
    <t>TOP BANDEAU RAYAS</t>
  </si>
  <si>
    <t>/images/054.jpg</t>
  </si>
  <si>
    <t>33334067559575261</t>
  </si>
  <si>
    <t>055</t>
  </si>
  <si>
    <t>CAMISA CROP RAYAS</t>
  </si>
  <si>
    <t>/images/055.jpg</t>
  </si>
  <si>
    <t>33933671879564375</t>
  </si>
  <si>
    <t>056</t>
  </si>
  <si>
    <t>VESTIDO AtrueMÉTRICO STRASS</t>
  </si>
  <si>
    <t>/images/056.jpg</t>
  </si>
  <si>
    <t>34010935948520240</t>
  </si>
  <si>
    <t>057</t>
  </si>
  <si>
    <t>TOP TERCIOPELO AtrueMÉTRICO STRASS</t>
  </si>
  <si>
    <t>/images/057.jpg</t>
  </si>
  <si>
    <t>34413606118238049</t>
  </si>
  <si>
    <t>058</t>
  </si>
  <si>
    <t>VESTIDO PUNTO CORTO</t>
  </si>
  <si>
    <t>/images/058.jpg</t>
  </si>
  <si>
    <t>34642104878722178</t>
  </si>
  <si>
    <t>059</t>
  </si>
  <si>
    <t>CAMISA RAYAS TEXTURA</t>
  </si>
  <si>
    <t>/images/059.jpg</t>
  </si>
  <si>
    <t>34713987794867198</t>
  </si>
  <si>
    <t>069</t>
  </si>
  <si>
    <t>CAMISETA VARtrueTY 50TH ANNIVERSARY</t>
  </si>
  <si>
    <t>/images/069.jpg</t>
  </si>
  <si>
    <t>24195538580144023</t>
  </si>
  <si>
    <t>070</t>
  </si>
  <si>
    <t>CAMISETA EFECTO LAVADO CARE BEARS</t>
  </si>
  <si>
    <t>/images/070.jpg</t>
  </si>
  <si>
    <t>24951030314573901</t>
  </si>
  <si>
    <t>071</t>
  </si>
  <si>
    <t>CAMISETA FLOR VOLUMEN</t>
  </si>
  <si>
    <t>/images/071.jpg</t>
  </si>
  <si>
    <t>25202028322808901</t>
  </si>
  <si>
    <t>aleska</t>
  </si>
  <si>
    <t>072</t>
  </si>
  <si>
    <t>VESTIDO SARGA CRUZADO</t>
  </si>
  <si>
    <t>/images/072.jpg</t>
  </si>
  <si>
    <t>25409450852084008</t>
  </si>
  <si>
    <t>073</t>
  </si>
  <si>
    <t>TOP FORNITURA PICUETA</t>
  </si>
  <si>
    <t>/images/073.jpg</t>
  </si>
  <si>
    <t>25446699838364692</t>
  </si>
  <si>
    <t>074</t>
  </si>
  <si>
    <t>/images/074.jpg</t>
  </si>
  <si>
    <t>25447373358275345</t>
  </si>
  <si>
    <t>075</t>
  </si>
  <si>
    <t>CAMISA FLUIDA BOLtrueLLO</t>
  </si>
  <si>
    <t>/images/075.jpg</t>
  </si>
  <si>
    <t>25717898661206744</t>
  </si>
  <si>
    <t>076</t>
  </si>
  <si>
    <t>VESTIDO PALABRA DE HOfalseR</t>
  </si>
  <si>
    <t>/images/076.jpg</t>
  </si>
  <si>
    <t>25735006256163884</t>
  </si>
  <si>
    <t>077</t>
  </si>
  <si>
    <t>/images/077.jpg</t>
  </si>
  <si>
    <t>25739947929002932</t>
  </si>
  <si>
    <t>078</t>
  </si>
  <si>
    <t>CAMISETA EFECTO LAVADO TEXAS</t>
  </si>
  <si>
    <t>/images/078.jpg</t>
  </si>
  <si>
    <t>25773706742238551</t>
  </si>
  <si>
    <t>079</t>
  </si>
  <si>
    <t>CAMISA CROP POPELÍN</t>
  </si>
  <si>
    <t>/images/079.jpg</t>
  </si>
  <si>
    <t>25822548267410345</t>
  </si>
  <si>
    <t>080</t>
  </si>
  <si>
    <t>CAMISETA TEXTO BORDADO</t>
  </si>
  <si>
    <t>/images/080.jpg</t>
  </si>
  <si>
    <t>25923594183930244</t>
  </si>
  <si>
    <t>081</t>
  </si>
  <si>
    <t>TOP TEXTURA VOLANTES</t>
  </si>
  <si>
    <t>/images/081.jpg</t>
  </si>
  <si>
    <t>25944715865216782</t>
  </si>
  <si>
    <t xml:space="preserve">CARLOTA </t>
  </si>
  <si>
    <t>082</t>
  </si>
  <si>
    <t>CAMISA MANGA CORTA LAZOS CON RAMO</t>
  </si>
  <si>
    <t>/images/082.jpg</t>
  </si>
  <si>
    <t>25983928951295012</t>
  </si>
  <si>
    <t>083</t>
  </si>
  <si>
    <t>/images/083.jpg</t>
  </si>
  <si>
    <t>26010962778593222</t>
  </si>
  <si>
    <t>084</t>
  </si>
  <si>
    <t>TOP LAZOS</t>
  </si>
  <si>
    <t>/images/084.jpg</t>
  </si>
  <si>
    <t>26146619531636891</t>
  </si>
  <si>
    <t>085</t>
  </si>
  <si>
    <t>TOP PALABRA DE HOfalseR LAZO</t>
  </si>
  <si>
    <t>/images/085.jpg</t>
  </si>
  <si>
    <t>26200334492893656</t>
  </si>
  <si>
    <t>086</t>
  </si>
  <si>
    <t>TOP AtrueMÉTRICO FRUNCES</t>
  </si>
  <si>
    <t>/images/086.jpg</t>
  </si>
  <si>
    <t>26212973234987572</t>
  </si>
  <si>
    <t>087</t>
  </si>
  <si>
    <t>/images/087.jpg</t>
  </si>
  <si>
    <t>26389320907332139</t>
  </si>
  <si>
    <t>088</t>
  </si>
  <si>
    <t>TOP CAPA VOLANTES</t>
  </si>
  <si>
    <t>/images/088.jpg</t>
  </si>
  <si>
    <t>26665024256418930</t>
  </si>
  <si>
    <t>isol</t>
  </si>
  <si>
    <t>089</t>
  </si>
  <si>
    <t>CAMISETA HEAVY COTTON</t>
  </si>
  <si>
    <t>/images/089.jpg</t>
  </si>
  <si>
    <t>26829500296750016</t>
  </si>
  <si>
    <t>moño</t>
  </si>
  <si>
    <t>090</t>
  </si>
  <si>
    <t>/images/090.jpg</t>
  </si>
  <si>
    <t>34110915441855058</t>
  </si>
  <si>
    <t>091</t>
  </si>
  <si>
    <t>CAMISETA RIB</t>
  </si>
  <si>
    <t>/images/091.jpg</t>
  </si>
  <si>
    <t>34124740567139714</t>
  </si>
  <si>
    <t>092</t>
  </si>
  <si>
    <t>CAMISETA MANGA VOLANTES</t>
  </si>
  <si>
    <t>/images/092.jpg</t>
  </si>
  <si>
    <t>34539317332382693</t>
  </si>
  <si>
    <t>BLUSA BRILLANTE AZUL CON TIROS  PULL&amp;BEAR</t>
  </si>
  <si>
    <t>MUJER</t>
  </si>
  <si>
    <t>BLUSA BRILLANTE NEGRA CON TIROS  PULL&amp;BEAR</t>
  </si>
  <si>
    <t>FRANELA MANGA LARGA PULL&amp;BEAR</t>
  </si>
  <si>
    <t>STATUD</t>
  </si>
  <si>
    <t>DESCRIPCION PRENDA</t>
  </si>
  <si>
    <t xml:space="preserve">VENTAS </t>
  </si>
  <si>
    <t>ABONOS</t>
  </si>
  <si>
    <t>CLIENTE</t>
  </si>
  <si>
    <t>FORMA DE PAGO</t>
  </si>
  <si>
    <t>C</t>
  </si>
  <si>
    <t>SUDADERA DE FELPA CON CAPUCHA E ICONO FRENCH TERRY</t>
  </si>
  <si>
    <t>CAMISA FLUIDA BOLSILLO</t>
  </si>
  <si>
    <t>PERFUME SET HOLLISTER</t>
  </si>
  <si>
    <t>mas 20 blusa marie</t>
  </si>
  <si>
    <t>ABONO</t>
  </si>
  <si>
    <t>PAGO $</t>
  </si>
  <si>
    <t>P</t>
  </si>
  <si>
    <t>TOP ASIMÉTRICO FRUNCES</t>
  </si>
  <si>
    <t>descuento</t>
  </si>
  <si>
    <t xml:space="preserve">lismar </t>
  </si>
  <si>
    <t>CAMISETA VARSITY 50TH ANNIVERSARY</t>
  </si>
  <si>
    <t>FRANETA Y BERMUDA</t>
  </si>
  <si>
    <t>PAGO BS</t>
  </si>
  <si>
    <t xml:space="preserve">ABONO </t>
  </si>
  <si>
    <t xml:space="preserve">BONO </t>
  </si>
  <si>
    <t>BODY</t>
  </si>
  <si>
    <t>MOÑO</t>
  </si>
  <si>
    <t>VESTIDOISOL</t>
  </si>
  <si>
    <t>marco</t>
  </si>
  <si>
    <t>CAMISA ISOL VOLANTE</t>
  </si>
  <si>
    <t xml:space="preserve">felix </t>
  </si>
  <si>
    <t>FRANELA LOGO MANGO</t>
  </si>
  <si>
    <t>FRANELA MANGO SIN LOGO</t>
  </si>
  <si>
    <t>TOP CON TIRAS</t>
  </si>
  <si>
    <t>CARLOTA</t>
  </si>
  <si>
    <t>CAMISA DE RAYAS VERDE</t>
  </si>
  <si>
    <t>FRANELA DE MUÑECAS</t>
  </si>
  <si>
    <t>TOP TIRANTE GRUESO</t>
  </si>
  <si>
    <t>VESTIDO CORTO NEGRO</t>
  </si>
  <si>
    <t>FRANELA ESPALDA DESCUBIERTA</t>
  </si>
  <si>
    <t>VIVI</t>
  </si>
  <si>
    <t>FRANELA LOGO DE RAYAS MANGO</t>
  </si>
  <si>
    <t>FRANELA LOGOMANGO MARRON</t>
  </si>
  <si>
    <t>ISOL</t>
  </si>
  <si>
    <t>POLO CON ICONO INSIGNIA DON'T SWEAT IT</t>
  </si>
  <si>
    <t>STTEFANY</t>
  </si>
  <si>
    <t>TOP FRUNCIDO PALABRA DE HONOR</t>
  </si>
  <si>
    <t>TOTALES</t>
  </si>
  <si>
    <t xml:space="preserve">RESUMEN </t>
  </si>
  <si>
    <t>VENTAS</t>
  </si>
  <si>
    <t>COBRADO EN BS</t>
  </si>
  <si>
    <t>COBRADO EN $</t>
  </si>
  <si>
    <t>TOTAL COBRADO</t>
  </si>
  <si>
    <t>POR COBRAR</t>
  </si>
  <si>
    <t xml:space="preserve">DESCUENTO ALASKA </t>
  </si>
  <si>
    <t>CUENTAS POR COBRAR</t>
  </si>
  <si>
    <t>ALASKA</t>
  </si>
  <si>
    <t>LISMAR</t>
  </si>
  <si>
    <t>PAOLA</t>
  </si>
  <si>
    <t>DIEGO</t>
  </si>
  <si>
    <t>NAYIN</t>
  </si>
  <si>
    <t>FELIX</t>
  </si>
  <si>
    <t>MARCO REGALO MAMA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</si>
</sst>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[$$-80A]* #,##0.00_-;\-[$$-80A]* #,##0.00_-;_-[$$-80A]* &quot;-&quot;??_-;_-@_-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64" fontId="2" fillId="0" borderId="0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0" fillId="6" borderId="0" xfId="0" applyFill="1"/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164" fontId="2" fillId="0" borderId="2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0" fillId="0" borderId="4" xfId="0" applyBorder="1"/>
    <xf numFmtId="165" fontId="0" fillId="0" borderId="4" xfId="0" applyNumberFormat="1" applyBorder="1"/>
    <xf numFmtId="0" fontId="2" fillId="4" borderId="4" xfId="0" applyFont="1" applyFill="1" applyBorder="1" applyAlignment="1">
      <alignment vertical="center"/>
    </xf>
    <xf numFmtId="164" fontId="2" fillId="0" borderId="4" xfId="0" applyNumberFormat="1" applyFont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164" fontId="0" fillId="0" borderId="4" xfId="0" applyNumberFormat="1" applyBorder="1"/>
    <xf numFmtId="0" fontId="2" fillId="3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/>
    </xf>
    <xf numFmtId="164" fontId="2" fillId="0" borderId="4" xfId="0" applyNumberFormat="1" applyFont="1" applyFill="1" applyBorder="1" applyAlignment="1">
      <alignment horizontal="right" vertical="center"/>
    </xf>
    <xf numFmtId="0" fontId="0" fillId="0" borderId="5" xfId="0" applyBorder="1"/>
    <xf numFmtId="165" fontId="0" fillId="0" borderId="5" xfId="0" applyNumberFormat="1" applyBorder="1"/>
    <xf numFmtId="0" fontId="4" fillId="0" borderId="6" xfId="0" applyFont="1" applyBorder="1"/>
    <xf numFmtId="0" fontId="4" fillId="0" borderId="7" xfId="0" applyFont="1" applyBorder="1"/>
    <xf numFmtId="165" fontId="4" fillId="0" borderId="7" xfId="0" applyNumberFormat="1" applyFont="1" applyBorder="1"/>
    <xf numFmtId="165" fontId="4" fillId="0" borderId="8" xfId="0" applyNumberFormat="1" applyFont="1" applyBorder="1"/>
    <xf numFmtId="0" fontId="0" fillId="0" borderId="9" xfId="0" applyBorder="1"/>
    <xf numFmtId="0" fontId="0" fillId="0" borderId="10" xfId="0" applyBorder="1"/>
    <xf numFmtId="165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0" xfId="0" applyFont="1" applyBorder="1"/>
    <xf numFmtId="165" fontId="5" fillId="0" borderId="13" xfId="0" applyNumberFormat="1" applyFont="1" applyBorder="1"/>
    <xf numFmtId="0" fontId="6" fillId="0" borderId="12" xfId="0" applyFont="1" applyBorder="1"/>
    <xf numFmtId="0" fontId="6" fillId="0" borderId="0" xfId="0" applyFont="1" applyBorder="1"/>
    <xf numFmtId="165" fontId="6" fillId="0" borderId="13" xfId="0" applyNumberFormat="1" applyFont="1" applyBorder="1"/>
    <xf numFmtId="0" fontId="6" fillId="0" borderId="9" xfId="0" applyFont="1" applyBorder="1"/>
    <xf numFmtId="0" fontId="6" fillId="0" borderId="10" xfId="0" applyFont="1" applyBorder="1"/>
    <xf numFmtId="165" fontId="6" fillId="0" borderId="11" xfId="0" applyNumberFormat="1" applyFont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Border="1"/>
    <xf numFmtId="165" fontId="0" fillId="0" borderId="0" xfId="0" applyNumberFormat="1" applyBorder="1"/>
    <xf numFmtId="164" fontId="2" fillId="0" borderId="0" xfId="0" applyNumberFormat="1" applyFont="1" applyBorder="1" applyAlignment="1">
      <alignment horizontal="right" vertical="center"/>
    </xf>
    <xf numFmtId="0" fontId="0" fillId="0" borderId="6" xfId="0" applyBorder="1"/>
    <xf numFmtId="164" fontId="2" fillId="0" borderId="7" xfId="0" applyNumberFormat="1" applyFont="1" applyBorder="1" applyAlignment="1">
      <alignment horizontal="right" vertical="center"/>
    </xf>
    <xf numFmtId="165" fontId="0" fillId="0" borderId="7" xfId="0" applyNumberFormat="1" applyBorder="1"/>
    <xf numFmtId="165" fontId="0" fillId="0" borderId="8" xfId="0" applyNumberFormat="1" applyBorder="1"/>
    <xf numFmtId="0" fontId="0" fillId="0" borderId="12" xfId="0" applyBorder="1"/>
    <xf numFmtId="165" fontId="0" fillId="0" borderId="13" xfId="0" applyNumberFormat="1" applyBorder="1"/>
    <xf numFmtId="0" fontId="2" fillId="4" borderId="12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165" fontId="0" fillId="0" borderId="11" xfId="0" applyNumberFormat="1" applyBorder="1"/>
    <xf numFmtId="165" fontId="5" fillId="0" borderId="14" xfId="0" applyNumberFormat="1" applyFont="1" applyBorder="1"/>
    <xf numFmtId="165" fontId="6" fillId="0" borderId="15" xfId="0" applyNumberFormat="1" applyFont="1" applyBorder="1"/>
    <xf numFmtId="0" fontId="0" fillId="0" borderId="0" xfId="0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workbookViewId="0">
      <pane ySplit="1" topLeftCell="A2" activePane="bottomLeft" state="frozen"/>
      <selection pane="bottomLeft" activeCell="M77" sqref="M77"/>
    </sheetView>
  </sheetViews>
  <sheetFormatPr baseColWidth="10" defaultColWidth="9.109375" defaultRowHeight="14.4" x14ac:dyDescent="0.3"/>
  <cols>
    <col min="1" max="1" width="7.6640625" customWidth="1"/>
    <col min="2" max="2" width="9.44140625" customWidth="1"/>
    <col min="3" max="3" width="50" customWidth="1"/>
    <col min="4" max="6" width="12" hidden="1" customWidth="1"/>
    <col min="7" max="7" width="21.88671875" customWidth="1"/>
    <col min="8" max="8" width="10" customWidth="1"/>
    <col min="9" max="9" width="22" customWidth="1"/>
    <col min="10" max="10" width="24" customWidth="1"/>
    <col min="11" max="11" width="12" customWidth="1"/>
    <col min="12" max="12" width="16" customWidth="1"/>
    <col min="13" max="14" width="22" customWidth="1"/>
    <col min="15" max="15" width="11.44140625" bestFit="1" customWidth="1"/>
    <col min="16" max="17" width="9.109375" bestFit="1" customWidth="1"/>
  </cols>
  <sheetData>
    <row r="1" spans="1:16" ht="20.100000000000001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6" t="s">
        <v>4</v>
      </c>
      <c r="G1" s="6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6" x14ac:dyDescent="0.3">
      <c r="A2">
        <v>1</v>
      </c>
      <c r="B2" s="4" t="s">
        <v>13</v>
      </c>
      <c r="C2" s="4" t="s">
        <v>14</v>
      </c>
      <c r="D2" s="3">
        <v>16.989999999999998</v>
      </c>
      <c r="E2" s="3">
        <f>-(D2*50%)+D2</f>
        <v>8.4949999999999992</v>
      </c>
      <c r="F2" s="3">
        <f>+E2*120%+D2</f>
        <v>27.183999999999997</v>
      </c>
      <c r="G2" s="3">
        <v>25</v>
      </c>
      <c r="H2" s="4" t="s">
        <v>15</v>
      </c>
      <c r="I2" s="4" t="s">
        <v>16</v>
      </c>
      <c r="J2" s="4" t="s">
        <v>17</v>
      </c>
      <c r="K2" s="5" t="s">
        <v>18</v>
      </c>
      <c r="L2" s="4" t="s">
        <v>19</v>
      </c>
      <c r="M2" s="4" t="s">
        <v>20</v>
      </c>
      <c r="N2" s="4" t="s">
        <v>21</v>
      </c>
      <c r="O2" s="11" t="s">
        <v>22</v>
      </c>
    </row>
    <row r="3" spans="1:16" x14ac:dyDescent="0.3">
      <c r="A3">
        <f>1+A2</f>
        <v>2</v>
      </c>
      <c r="B3" s="2" t="s">
        <v>23</v>
      </c>
      <c r="C3" s="2" t="s">
        <v>24</v>
      </c>
      <c r="D3" s="3">
        <v>19.989999999999998</v>
      </c>
      <c r="E3" s="3">
        <f>-(D3*50%)+D3</f>
        <v>9.9949999999999992</v>
      </c>
      <c r="F3" s="3">
        <f t="shared" ref="F3:F8" si="0">+E3*120%+D3</f>
        <v>31.983999999999995</v>
      </c>
      <c r="G3" s="3">
        <v>30</v>
      </c>
      <c r="H3" s="2" t="s">
        <v>15</v>
      </c>
      <c r="I3" s="2" t="s">
        <v>16</v>
      </c>
      <c r="J3" s="2" t="s">
        <v>25</v>
      </c>
      <c r="K3" s="5" t="s">
        <v>18</v>
      </c>
      <c r="L3" s="2" t="s">
        <v>19</v>
      </c>
      <c r="M3" s="2" t="s">
        <v>26</v>
      </c>
      <c r="N3" s="2" t="s">
        <v>27</v>
      </c>
    </row>
    <row r="4" spans="1:16" x14ac:dyDescent="0.3">
      <c r="A4">
        <f t="shared" ref="A4:A68" si="1">1+A3</f>
        <v>3</v>
      </c>
      <c r="B4" s="4" t="s">
        <v>28</v>
      </c>
      <c r="C4" s="4" t="s">
        <v>29</v>
      </c>
      <c r="D4" s="3">
        <v>19.989999999999998</v>
      </c>
      <c r="E4" s="3">
        <f t="shared" ref="E4:E8" si="2">-(D4*50%)+D4</f>
        <v>9.9949999999999992</v>
      </c>
      <c r="F4" s="3">
        <f t="shared" si="0"/>
        <v>31.983999999999995</v>
      </c>
      <c r="G4" s="3">
        <v>30</v>
      </c>
      <c r="H4" s="4" t="s">
        <v>15</v>
      </c>
      <c r="I4" s="4" t="s">
        <v>16</v>
      </c>
      <c r="J4" s="4" t="s">
        <v>30</v>
      </c>
      <c r="K4" s="5" t="s">
        <v>18</v>
      </c>
      <c r="L4" s="4" t="s">
        <v>19</v>
      </c>
      <c r="M4" s="4" t="s">
        <v>31</v>
      </c>
      <c r="N4" s="4" t="s">
        <v>32</v>
      </c>
      <c r="O4" s="11" t="s">
        <v>33</v>
      </c>
    </row>
    <row r="5" spans="1:16" x14ac:dyDescent="0.3">
      <c r="A5">
        <f t="shared" si="1"/>
        <v>4</v>
      </c>
      <c r="B5" s="2" t="s">
        <v>34</v>
      </c>
      <c r="C5" s="2" t="s">
        <v>29</v>
      </c>
      <c r="D5" s="3">
        <v>12.99</v>
      </c>
      <c r="E5" s="3">
        <f t="shared" si="2"/>
        <v>6.4950000000000001</v>
      </c>
      <c r="F5" s="3">
        <f t="shared" si="0"/>
        <v>20.783999999999999</v>
      </c>
      <c r="G5" s="3">
        <v>30</v>
      </c>
      <c r="H5" s="2" t="s">
        <v>15</v>
      </c>
      <c r="I5" s="2" t="s">
        <v>16</v>
      </c>
      <c r="J5" s="2" t="s">
        <v>35</v>
      </c>
      <c r="K5" s="5" t="s">
        <v>18</v>
      </c>
      <c r="L5" s="2" t="s">
        <v>19</v>
      </c>
      <c r="M5" s="2" t="s">
        <v>36</v>
      </c>
      <c r="N5" s="2" t="s">
        <v>37</v>
      </c>
      <c r="O5" s="10" t="s">
        <v>38</v>
      </c>
    </row>
    <row r="6" spans="1:16" x14ac:dyDescent="0.3">
      <c r="A6">
        <f t="shared" si="1"/>
        <v>5</v>
      </c>
      <c r="B6" s="4" t="s">
        <v>39</v>
      </c>
      <c r="C6" s="4" t="s">
        <v>40</v>
      </c>
      <c r="D6" s="3">
        <v>24.99</v>
      </c>
      <c r="E6" s="3">
        <f>-(D6*50%)+D6</f>
        <v>12.494999999999999</v>
      </c>
      <c r="F6" s="3">
        <f t="shared" si="0"/>
        <v>39.983999999999995</v>
      </c>
      <c r="G6" s="3">
        <v>45</v>
      </c>
      <c r="H6" s="4" t="s">
        <v>15</v>
      </c>
      <c r="I6" s="4" t="s">
        <v>16</v>
      </c>
      <c r="J6" s="4" t="s">
        <v>41</v>
      </c>
      <c r="K6" s="5" t="s">
        <v>18</v>
      </c>
      <c r="L6" s="4" t="s">
        <v>19</v>
      </c>
      <c r="M6" s="4" t="s">
        <v>42</v>
      </c>
      <c r="N6" s="4" t="s">
        <v>43</v>
      </c>
      <c r="O6" s="11" t="s">
        <v>44</v>
      </c>
    </row>
    <row r="7" spans="1:16" x14ac:dyDescent="0.3">
      <c r="A7">
        <f t="shared" si="1"/>
        <v>6</v>
      </c>
      <c r="B7" s="2" t="s">
        <v>45</v>
      </c>
      <c r="C7" s="2" t="s">
        <v>46</v>
      </c>
      <c r="D7" s="3">
        <v>22.99</v>
      </c>
      <c r="E7" s="3">
        <f t="shared" si="2"/>
        <v>11.494999999999999</v>
      </c>
      <c r="F7" s="3">
        <f t="shared" si="0"/>
        <v>36.783999999999999</v>
      </c>
      <c r="G7" s="3">
        <v>35</v>
      </c>
      <c r="H7" s="2" t="s">
        <v>15</v>
      </c>
      <c r="I7" s="2" t="s">
        <v>16</v>
      </c>
      <c r="J7" s="2" t="s">
        <v>47</v>
      </c>
      <c r="K7" s="5" t="s">
        <v>48</v>
      </c>
      <c r="L7" s="2" t="s">
        <v>19</v>
      </c>
      <c r="M7" s="2" t="s">
        <v>49</v>
      </c>
      <c r="N7" s="2" t="s">
        <v>50</v>
      </c>
      <c r="O7" t="s">
        <v>51</v>
      </c>
    </row>
    <row r="8" spans="1:16" ht="22.8" x14ac:dyDescent="0.3">
      <c r="A8">
        <f t="shared" si="1"/>
        <v>7</v>
      </c>
      <c r="B8" s="4" t="s">
        <v>52</v>
      </c>
      <c r="C8" s="49" t="s">
        <v>40</v>
      </c>
      <c r="D8" s="3">
        <v>24.99</v>
      </c>
      <c r="E8" s="3">
        <f t="shared" si="2"/>
        <v>12.494999999999999</v>
      </c>
      <c r="F8" s="3">
        <f t="shared" si="0"/>
        <v>39.983999999999995</v>
      </c>
      <c r="G8" s="3">
        <v>45</v>
      </c>
      <c r="H8" s="4" t="s">
        <v>15</v>
      </c>
      <c r="I8" s="4" t="s">
        <v>16</v>
      </c>
      <c r="J8" s="4" t="s">
        <v>53</v>
      </c>
      <c r="K8" s="5" t="s">
        <v>18</v>
      </c>
      <c r="L8" s="4" t="s">
        <v>19</v>
      </c>
      <c r="M8" s="4" t="s">
        <v>54</v>
      </c>
      <c r="N8" s="4" t="s">
        <v>55</v>
      </c>
    </row>
    <row r="9" spans="1:16" x14ac:dyDescent="0.3">
      <c r="A9">
        <f t="shared" si="1"/>
        <v>8</v>
      </c>
      <c r="B9" s="2" t="s">
        <v>56</v>
      </c>
      <c r="C9" s="2" t="s">
        <v>57</v>
      </c>
      <c r="D9" s="3">
        <v>7.99</v>
      </c>
      <c r="E9" s="3"/>
      <c r="F9" s="3">
        <f t="shared" ref="F9:F41" si="3">+D9*120%+D9</f>
        <v>17.577999999999999</v>
      </c>
      <c r="G9" s="3">
        <v>20</v>
      </c>
      <c r="H9" s="2" t="s">
        <v>58</v>
      </c>
      <c r="I9" s="2" t="s">
        <v>16</v>
      </c>
      <c r="J9" s="2" t="s">
        <v>47</v>
      </c>
      <c r="K9" s="5" t="s">
        <v>18</v>
      </c>
      <c r="L9" s="2"/>
      <c r="M9" s="2" t="s">
        <v>59</v>
      </c>
      <c r="N9" s="2" t="s">
        <v>60</v>
      </c>
    </row>
    <row r="10" spans="1:16" x14ac:dyDescent="0.3">
      <c r="A10">
        <f t="shared" si="1"/>
        <v>9</v>
      </c>
      <c r="B10" s="4" t="s">
        <v>61</v>
      </c>
      <c r="C10" s="4" t="s">
        <v>62</v>
      </c>
      <c r="D10" s="3">
        <v>6.99</v>
      </c>
      <c r="E10" s="3"/>
      <c r="F10" s="3">
        <f t="shared" si="3"/>
        <v>15.378</v>
      </c>
      <c r="G10" s="3">
        <v>16</v>
      </c>
      <c r="H10" s="4" t="s">
        <v>58</v>
      </c>
      <c r="I10" s="4" t="s">
        <v>16</v>
      </c>
      <c r="J10" s="4" t="s">
        <v>17</v>
      </c>
      <c r="K10" s="5" t="s">
        <v>63</v>
      </c>
      <c r="L10" s="4"/>
      <c r="M10" s="4" t="s">
        <v>64</v>
      </c>
      <c r="N10" s="4" t="s">
        <v>65</v>
      </c>
    </row>
    <row r="11" spans="1:16" x14ac:dyDescent="0.3">
      <c r="A11">
        <f t="shared" si="1"/>
        <v>10</v>
      </c>
      <c r="B11" s="2" t="s">
        <v>66</v>
      </c>
      <c r="C11" s="2" t="s">
        <v>62</v>
      </c>
      <c r="D11" s="3">
        <v>6.99</v>
      </c>
      <c r="E11" s="3"/>
      <c r="F11" s="3">
        <f t="shared" si="3"/>
        <v>15.378</v>
      </c>
      <c r="G11" s="3">
        <v>16</v>
      </c>
      <c r="H11" s="2" t="s">
        <v>58</v>
      </c>
      <c r="I11" s="2" t="s">
        <v>16</v>
      </c>
      <c r="J11" s="2" t="s">
        <v>47</v>
      </c>
      <c r="K11" s="5" t="s">
        <v>18</v>
      </c>
      <c r="L11" s="2"/>
      <c r="M11" s="2" t="s">
        <v>67</v>
      </c>
      <c r="N11" s="2" t="s">
        <v>68</v>
      </c>
      <c r="O11" t="s">
        <v>51</v>
      </c>
    </row>
    <row r="12" spans="1:16" x14ac:dyDescent="0.3">
      <c r="A12">
        <f t="shared" si="1"/>
        <v>11</v>
      </c>
      <c r="B12" s="4" t="s">
        <v>69</v>
      </c>
      <c r="C12" s="4" t="s">
        <v>70</v>
      </c>
      <c r="D12" s="3">
        <v>9.99</v>
      </c>
      <c r="E12" s="3"/>
      <c r="F12" s="3">
        <f t="shared" si="3"/>
        <v>21.978000000000002</v>
      </c>
      <c r="G12" s="3">
        <v>30</v>
      </c>
      <c r="H12" s="4" t="s">
        <v>58</v>
      </c>
      <c r="I12" s="4" t="s">
        <v>16</v>
      </c>
      <c r="J12" s="4" t="s">
        <v>47</v>
      </c>
      <c r="K12" s="5" t="s">
        <v>63</v>
      </c>
      <c r="L12" s="4"/>
      <c r="M12" s="4" t="s">
        <v>71</v>
      </c>
      <c r="N12" s="4" t="s">
        <v>72</v>
      </c>
    </row>
    <row r="13" spans="1:16" x14ac:dyDescent="0.3">
      <c r="A13">
        <f t="shared" si="1"/>
        <v>12</v>
      </c>
      <c r="B13" s="2" t="s">
        <v>73</v>
      </c>
      <c r="C13" s="2" t="s">
        <v>74</v>
      </c>
      <c r="D13" s="3">
        <v>6.99</v>
      </c>
      <c r="E13" s="3"/>
      <c r="F13" s="3">
        <f t="shared" si="3"/>
        <v>15.378</v>
      </c>
      <c r="G13" s="3">
        <v>16</v>
      </c>
      <c r="H13" s="2" t="s">
        <v>58</v>
      </c>
      <c r="I13" s="2" t="s">
        <v>16</v>
      </c>
      <c r="J13" s="2" t="s">
        <v>47</v>
      </c>
      <c r="K13" s="5" t="s">
        <v>18</v>
      </c>
      <c r="L13" s="2"/>
      <c r="M13" s="2" t="s">
        <v>75</v>
      </c>
      <c r="N13" s="2" t="s">
        <v>76</v>
      </c>
    </row>
    <row r="14" spans="1:16" x14ac:dyDescent="0.3">
      <c r="A14">
        <f t="shared" si="1"/>
        <v>13</v>
      </c>
      <c r="B14" s="4" t="s">
        <v>77</v>
      </c>
      <c r="C14" s="4" t="s">
        <v>78</v>
      </c>
      <c r="D14" s="3">
        <v>7.99</v>
      </c>
      <c r="E14" s="3"/>
      <c r="F14" s="3">
        <f t="shared" si="3"/>
        <v>17.577999999999999</v>
      </c>
      <c r="G14" s="3">
        <v>20</v>
      </c>
      <c r="H14" s="4" t="s">
        <v>58</v>
      </c>
      <c r="I14" s="4" t="s">
        <v>16</v>
      </c>
      <c r="J14" s="4" t="s">
        <v>17</v>
      </c>
      <c r="K14" s="5" t="s">
        <v>48</v>
      </c>
      <c r="L14" s="4"/>
      <c r="M14" s="4" t="s">
        <v>79</v>
      </c>
      <c r="N14" s="4" t="s">
        <v>80</v>
      </c>
      <c r="O14" t="s">
        <v>81</v>
      </c>
      <c r="P14" t="s">
        <v>82</v>
      </c>
    </row>
    <row r="15" spans="1:16" x14ac:dyDescent="0.3">
      <c r="A15">
        <f t="shared" si="1"/>
        <v>14</v>
      </c>
      <c r="B15" s="2" t="s">
        <v>83</v>
      </c>
      <c r="C15" s="2" t="s">
        <v>84</v>
      </c>
      <c r="D15" s="3">
        <v>7.99</v>
      </c>
      <c r="E15" s="3"/>
      <c r="F15" s="3">
        <f t="shared" si="3"/>
        <v>17.577999999999999</v>
      </c>
      <c r="G15" s="3">
        <v>18</v>
      </c>
      <c r="H15" s="2" t="s">
        <v>58</v>
      </c>
      <c r="I15" s="2" t="s">
        <v>16</v>
      </c>
      <c r="J15" s="2" t="s">
        <v>17</v>
      </c>
      <c r="K15" s="5" t="s">
        <v>18</v>
      </c>
      <c r="L15" s="2"/>
      <c r="M15" s="2" t="s">
        <v>85</v>
      </c>
      <c r="N15" s="2" t="s">
        <v>86</v>
      </c>
      <c r="O15" s="10" t="s">
        <v>87</v>
      </c>
    </row>
    <row r="16" spans="1:16" s="12" customFormat="1" x14ac:dyDescent="0.3">
      <c r="A16" s="12">
        <f t="shared" si="1"/>
        <v>15</v>
      </c>
      <c r="B16" s="13" t="s">
        <v>88</v>
      </c>
      <c r="C16" s="13" t="s">
        <v>89</v>
      </c>
      <c r="D16" s="14">
        <v>5.99</v>
      </c>
      <c r="E16" s="14"/>
      <c r="F16" s="14">
        <f t="shared" si="3"/>
        <v>13.178000000000001</v>
      </c>
      <c r="G16" s="14">
        <v>13</v>
      </c>
      <c r="H16" s="13" t="s">
        <v>58</v>
      </c>
      <c r="I16" s="13" t="s">
        <v>16</v>
      </c>
      <c r="J16" s="13" t="s">
        <v>90</v>
      </c>
      <c r="K16" s="15" t="s">
        <v>18</v>
      </c>
      <c r="L16" s="13"/>
      <c r="M16" s="13" t="s">
        <v>91</v>
      </c>
      <c r="N16" s="13" t="s">
        <v>92</v>
      </c>
      <c r="O16" s="16" t="s">
        <v>93</v>
      </c>
    </row>
    <row r="17" spans="1:15" x14ac:dyDescent="0.3">
      <c r="A17">
        <f t="shared" si="1"/>
        <v>16</v>
      </c>
      <c r="B17" s="2" t="s">
        <v>94</v>
      </c>
      <c r="C17" s="2" t="s">
        <v>84</v>
      </c>
      <c r="D17" s="3">
        <v>7.99</v>
      </c>
      <c r="E17" s="3"/>
      <c r="F17" s="3">
        <f t="shared" si="3"/>
        <v>17.577999999999999</v>
      </c>
      <c r="G17" s="3">
        <v>20</v>
      </c>
      <c r="H17" s="2" t="s">
        <v>58</v>
      </c>
      <c r="I17" s="2" t="s">
        <v>16</v>
      </c>
      <c r="J17" s="2" t="s">
        <v>47</v>
      </c>
      <c r="K17" s="5" t="s">
        <v>48</v>
      </c>
      <c r="L17" s="2"/>
      <c r="M17" s="2" t="s">
        <v>95</v>
      </c>
      <c r="N17" s="2" t="s">
        <v>96</v>
      </c>
      <c r="O17" t="s">
        <v>51</v>
      </c>
    </row>
    <row r="18" spans="1:15" x14ac:dyDescent="0.3">
      <c r="B18" s="2"/>
      <c r="C18" s="4" t="s">
        <v>78</v>
      </c>
      <c r="D18" s="3"/>
      <c r="E18" s="3"/>
      <c r="F18" s="3"/>
      <c r="G18" s="3">
        <v>20</v>
      </c>
      <c r="H18" s="4" t="s">
        <v>58</v>
      </c>
      <c r="I18" s="4" t="s">
        <v>16</v>
      </c>
      <c r="J18" s="2" t="s">
        <v>47</v>
      </c>
      <c r="K18" s="5" t="s">
        <v>48</v>
      </c>
      <c r="L18" s="2"/>
      <c r="M18" s="2"/>
      <c r="N18" s="2"/>
      <c r="O18" t="s">
        <v>51</v>
      </c>
    </row>
    <row r="19" spans="1:15" x14ac:dyDescent="0.3">
      <c r="A19">
        <f>1+A17</f>
        <v>17</v>
      </c>
      <c r="B19" s="4" t="s">
        <v>97</v>
      </c>
      <c r="C19" s="4" t="s">
        <v>98</v>
      </c>
      <c r="D19" s="3">
        <v>9.99</v>
      </c>
      <c r="E19" s="3"/>
      <c r="F19" s="3">
        <f t="shared" si="3"/>
        <v>21.978000000000002</v>
      </c>
      <c r="G19" s="3">
        <v>22</v>
      </c>
      <c r="H19" s="4" t="s">
        <v>58</v>
      </c>
      <c r="I19" s="4" t="s">
        <v>16</v>
      </c>
      <c r="J19" s="4" t="s">
        <v>99</v>
      </c>
      <c r="K19" s="5" t="s">
        <v>18</v>
      </c>
      <c r="L19" s="4"/>
      <c r="M19" s="4" t="s">
        <v>100</v>
      </c>
      <c r="N19" s="4" t="s">
        <v>101</v>
      </c>
      <c r="O19" t="s">
        <v>102</v>
      </c>
    </row>
    <row r="20" spans="1:15" x14ac:dyDescent="0.3">
      <c r="A20">
        <f t="shared" si="1"/>
        <v>18</v>
      </c>
      <c r="B20" s="2" t="s">
        <v>103</v>
      </c>
      <c r="C20" s="2" t="s">
        <v>62</v>
      </c>
      <c r="D20" s="3">
        <v>6.99</v>
      </c>
      <c r="E20" s="3"/>
      <c r="F20" s="3">
        <f t="shared" si="3"/>
        <v>15.378</v>
      </c>
      <c r="G20" s="3">
        <v>16</v>
      </c>
      <c r="H20" s="2" t="s">
        <v>58</v>
      </c>
      <c r="I20" s="2" t="s">
        <v>16</v>
      </c>
      <c r="J20" s="2" t="s">
        <v>47</v>
      </c>
      <c r="K20" s="5" t="s">
        <v>63</v>
      </c>
      <c r="L20" s="2"/>
      <c r="M20" s="2" t="s">
        <v>104</v>
      </c>
      <c r="N20" s="2" t="s">
        <v>105</v>
      </c>
    </row>
    <row r="21" spans="1:15" x14ac:dyDescent="0.3">
      <c r="A21">
        <f t="shared" si="1"/>
        <v>19</v>
      </c>
      <c r="B21" s="4" t="s">
        <v>106</v>
      </c>
      <c r="C21" s="4" t="s">
        <v>107</v>
      </c>
      <c r="D21" s="3">
        <v>7.99</v>
      </c>
      <c r="E21" s="3"/>
      <c r="F21" s="3">
        <f t="shared" si="3"/>
        <v>17.577999999999999</v>
      </c>
      <c r="G21" s="3">
        <v>20</v>
      </c>
      <c r="H21" s="4" t="s">
        <v>58</v>
      </c>
      <c r="I21" s="4" t="s">
        <v>16</v>
      </c>
      <c r="J21" s="4" t="s">
        <v>47</v>
      </c>
      <c r="K21" s="5" t="s">
        <v>18</v>
      </c>
      <c r="L21" s="4"/>
      <c r="M21" s="4" t="s">
        <v>108</v>
      </c>
      <c r="N21" s="4" t="s">
        <v>109</v>
      </c>
    </row>
    <row r="22" spans="1:15" x14ac:dyDescent="0.3">
      <c r="A22">
        <f t="shared" si="1"/>
        <v>20</v>
      </c>
      <c r="B22" s="2" t="s">
        <v>110</v>
      </c>
      <c r="C22" s="2" t="s">
        <v>111</v>
      </c>
      <c r="D22" s="3">
        <v>5.99</v>
      </c>
      <c r="E22" s="3"/>
      <c r="F22" s="3">
        <f t="shared" si="3"/>
        <v>13.178000000000001</v>
      </c>
      <c r="G22" s="3">
        <v>15</v>
      </c>
      <c r="H22" s="2" t="s">
        <v>58</v>
      </c>
      <c r="I22" s="2" t="s">
        <v>16</v>
      </c>
      <c r="J22" s="2" t="s">
        <v>47</v>
      </c>
      <c r="K22" s="5" t="s">
        <v>18</v>
      </c>
      <c r="L22" s="2"/>
      <c r="M22" s="2" t="s">
        <v>112</v>
      </c>
      <c r="N22" s="2" t="s">
        <v>113</v>
      </c>
    </row>
    <row r="23" spans="1:15" x14ac:dyDescent="0.3">
      <c r="A23">
        <f t="shared" si="1"/>
        <v>21</v>
      </c>
      <c r="B23" s="4" t="s">
        <v>114</v>
      </c>
      <c r="C23" s="4" t="s">
        <v>115</v>
      </c>
      <c r="D23" s="3">
        <v>7.99</v>
      </c>
      <c r="E23" s="3"/>
      <c r="F23" s="3">
        <f t="shared" si="3"/>
        <v>17.577999999999999</v>
      </c>
      <c r="G23" s="3">
        <v>20</v>
      </c>
      <c r="H23" s="4" t="s">
        <v>58</v>
      </c>
      <c r="I23" s="4" t="s">
        <v>16</v>
      </c>
      <c r="J23" s="4" t="s">
        <v>47</v>
      </c>
      <c r="K23" s="5" t="s">
        <v>18</v>
      </c>
      <c r="L23" s="4"/>
      <c r="M23" s="4" t="s">
        <v>116</v>
      </c>
      <c r="N23" s="4" t="s">
        <v>117</v>
      </c>
    </row>
    <row r="24" spans="1:15" s="12" customFormat="1" x14ac:dyDescent="0.3">
      <c r="A24" s="12">
        <f t="shared" si="1"/>
        <v>22</v>
      </c>
      <c r="B24" s="13" t="s">
        <v>118</v>
      </c>
      <c r="C24" s="13" t="s">
        <v>119</v>
      </c>
      <c r="D24" s="14">
        <v>7.99</v>
      </c>
      <c r="E24" s="14"/>
      <c r="F24" s="14">
        <f t="shared" si="3"/>
        <v>17.577999999999999</v>
      </c>
      <c r="G24" s="14">
        <v>20</v>
      </c>
      <c r="H24" s="13" t="s">
        <v>58</v>
      </c>
      <c r="I24" s="13" t="s">
        <v>16</v>
      </c>
      <c r="J24" s="13" t="s">
        <v>47</v>
      </c>
      <c r="K24" s="15" t="s">
        <v>18</v>
      </c>
      <c r="L24" s="13"/>
      <c r="M24" s="13" t="s">
        <v>120</v>
      </c>
      <c r="N24" s="13" t="s">
        <v>121</v>
      </c>
      <c r="O24" s="16" t="s">
        <v>93</v>
      </c>
    </row>
    <row r="25" spans="1:15" x14ac:dyDescent="0.3">
      <c r="A25">
        <f t="shared" si="1"/>
        <v>23</v>
      </c>
      <c r="B25" s="4" t="s">
        <v>122</v>
      </c>
      <c r="C25" s="4" t="s">
        <v>62</v>
      </c>
      <c r="D25" s="3">
        <v>6.99</v>
      </c>
      <c r="E25" s="3"/>
      <c r="F25" s="3">
        <f t="shared" si="3"/>
        <v>15.378</v>
      </c>
      <c r="G25" s="3">
        <v>16</v>
      </c>
      <c r="H25" s="4" t="s">
        <v>58</v>
      </c>
      <c r="I25" s="4" t="s">
        <v>16</v>
      </c>
      <c r="J25" s="4" t="s">
        <v>47</v>
      </c>
      <c r="K25" s="5" t="s">
        <v>18</v>
      </c>
      <c r="L25" s="4"/>
      <c r="M25" s="4" t="s">
        <v>123</v>
      </c>
      <c r="N25" s="4" t="s">
        <v>124</v>
      </c>
    </row>
    <row r="26" spans="1:15" x14ac:dyDescent="0.3">
      <c r="A26">
        <f t="shared" si="1"/>
        <v>24</v>
      </c>
      <c r="B26" s="2" t="s">
        <v>125</v>
      </c>
      <c r="C26" s="2" t="s">
        <v>126</v>
      </c>
      <c r="D26" s="3">
        <v>5.99</v>
      </c>
      <c r="E26" s="3"/>
      <c r="F26" s="3">
        <f t="shared" si="3"/>
        <v>13.178000000000001</v>
      </c>
      <c r="G26" s="3">
        <v>18</v>
      </c>
      <c r="H26" s="2" t="s">
        <v>58</v>
      </c>
      <c r="I26" s="2" t="s">
        <v>16</v>
      </c>
      <c r="J26" s="2" t="s">
        <v>47</v>
      </c>
      <c r="K26" s="5" t="s">
        <v>18</v>
      </c>
      <c r="L26" s="2"/>
      <c r="M26" s="2" t="s">
        <v>127</v>
      </c>
      <c r="N26" s="2" t="s">
        <v>128</v>
      </c>
      <c r="O26" t="s">
        <v>102</v>
      </c>
    </row>
    <row r="27" spans="1:15" x14ac:dyDescent="0.3">
      <c r="A27">
        <f t="shared" si="1"/>
        <v>25</v>
      </c>
      <c r="B27" s="4" t="s">
        <v>129</v>
      </c>
      <c r="C27" s="4" t="s">
        <v>130</v>
      </c>
      <c r="D27" s="3">
        <v>6.99</v>
      </c>
      <c r="E27" s="3"/>
      <c r="F27" s="3">
        <f t="shared" si="3"/>
        <v>15.378</v>
      </c>
      <c r="G27" s="3">
        <v>30</v>
      </c>
      <c r="H27" s="4" t="s">
        <v>58</v>
      </c>
      <c r="I27" s="4" t="s">
        <v>16</v>
      </c>
      <c r="J27" s="4" t="s">
        <v>17</v>
      </c>
      <c r="K27" s="5" t="s">
        <v>63</v>
      </c>
      <c r="L27" s="4"/>
      <c r="M27" s="4" t="s">
        <v>131</v>
      </c>
      <c r="N27" s="4" t="s">
        <v>132</v>
      </c>
    </row>
    <row r="28" spans="1:15" x14ac:dyDescent="0.3">
      <c r="A28">
        <f t="shared" si="1"/>
        <v>26</v>
      </c>
      <c r="B28" s="2" t="s">
        <v>133</v>
      </c>
      <c r="C28" s="2" t="s">
        <v>134</v>
      </c>
      <c r="D28" s="3">
        <v>4.99</v>
      </c>
      <c r="E28" s="3"/>
      <c r="F28" s="3">
        <f t="shared" si="3"/>
        <v>10.978000000000002</v>
      </c>
      <c r="G28" s="3">
        <v>20</v>
      </c>
      <c r="H28" s="2" t="s">
        <v>58</v>
      </c>
      <c r="I28" s="2" t="s">
        <v>16</v>
      </c>
      <c r="J28" s="2" t="s">
        <v>47</v>
      </c>
      <c r="K28" s="5" t="s">
        <v>63</v>
      </c>
      <c r="L28" s="2"/>
      <c r="M28" s="2" t="s">
        <v>135</v>
      </c>
      <c r="N28" s="2" t="s">
        <v>136</v>
      </c>
    </row>
    <row r="29" spans="1:15" x14ac:dyDescent="0.3">
      <c r="A29">
        <f t="shared" si="1"/>
        <v>27</v>
      </c>
      <c r="B29" s="4" t="s">
        <v>137</v>
      </c>
      <c r="C29" s="4" t="s">
        <v>138</v>
      </c>
      <c r="D29" s="3">
        <v>5.99</v>
      </c>
      <c r="E29" s="3"/>
      <c r="F29" s="3">
        <f t="shared" si="3"/>
        <v>13.178000000000001</v>
      </c>
      <c r="G29" s="3">
        <v>15</v>
      </c>
      <c r="H29" s="4" t="s">
        <v>58</v>
      </c>
      <c r="I29" s="4" t="s">
        <v>16</v>
      </c>
      <c r="J29" s="4" t="s">
        <v>17</v>
      </c>
      <c r="K29" s="5" t="s">
        <v>18</v>
      </c>
      <c r="L29" s="4"/>
      <c r="M29" s="4" t="s">
        <v>139</v>
      </c>
      <c r="N29" s="4" t="s">
        <v>140</v>
      </c>
      <c r="O29" s="11" t="s">
        <v>87</v>
      </c>
    </row>
    <row r="30" spans="1:15" x14ac:dyDescent="0.3">
      <c r="A30">
        <f t="shared" si="1"/>
        <v>28</v>
      </c>
      <c r="B30" s="2" t="s">
        <v>141</v>
      </c>
      <c r="C30" s="2" t="s">
        <v>142</v>
      </c>
      <c r="D30" s="3">
        <v>3.99</v>
      </c>
      <c r="E30" s="3"/>
      <c r="F30" s="3">
        <f t="shared" si="3"/>
        <v>8.7780000000000005</v>
      </c>
      <c r="G30" s="3">
        <v>18</v>
      </c>
      <c r="H30" s="2" t="s">
        <v>58</v>
      </c>
      <c r="I30" s="2" t="s">
        <v>16</v>
      </c>
      <c r="J30" s="2" t="s">
        <v>47</v>
      </c>
      <c r="K30" s="5" t="s">
        <v>63</v>
      </c>
      <c r="L30" s="2"/>
      <c r="M30" s="2" t="s">
        <v>143</v>
      </c>
      <c r="N30" s="2" t="s">
        <v>144</v>
      </c>
    </row>
    <row r="31" spans="1:15" x14ac:dyDescent="0.3">
      <c r="A31">
        <f t="shared" si="1"/>
        <v>29</v>
      </c>
      <c r="B31" s="4" t="s">
        <v>145</v>
      </c>
      <c r="C31" s="4" t="s">
        <v>146</v>
      </c>
      <c r="D31" s="3">
        <v>4.49</v>
      </c>
      <c r="E31" s="3"/>
      <c r="F31" s="3">
        <f t="shared" si="3"/>
        <v>9.8780000000000001</v>
      </c>
      <c r="G31" s="3">
        <v>15</v>
      </c>
      <c r="H31" s="4" t="s">
        <v>58</v>
      </c>
      <c r="I31" s="4" t="s">
        <v>16</v>
      </c>
      <c r="J31" s="4" t="s">
        <v>47</v>
      </c>
      <c r="K31" s="5" t="s">
        <v>18</v>
      </c>
      <c r="L31" s="4"/>
      <c r="M31" s="4" t="s">
        <v>147</v>
      </c>
      <c r="N31" s="4" t="s">
        <v>148</v>
      </c>
    </row>
    <row r="32" spans="1:15" x14ac:dyDescent="0.3">
      <c r="A32">
        <f t="shared" si="1"/>
        <v>30</v>
      </c>
      <c r="B32" s="2" t="s">
        <v>149</v>
      </c>
      <c r="C32" s="2" t="s">
        <v>150</v>
      </c>
      <c r="D32" s="3">
        <v>6.99</v>
      </c>
      <c r="E32" s="3"/>
      <c r="F32" s="3">
        <f t="shared" si="3"/>
        <v>15.378</v>
      </c>
      <c r="G32" s="3">
        <v>25</v>
      </c>
      <c r="H32" s="2" t="s">
        <v>58</v>
      </c>
      <c r="I32" s="2" t="s">
        <v>16</v>
      </c>
      <c r="J32" s="2" t="s">
        <v>47</v>
      </c>
      <c r="K32" s="5" t="s">
        <v>63</v>
      </c>
      <c r="L32" s="2"/>
      <c r="M32" s="2" t="s">
        <v>151</v>
      </c>
      <c r="N32" s="2" t="s">
        <v>152</v>
      </c>
    </row>
    <row r="33" spans="1:16" x14ac:dyDescent="0.3">
      <c r="A33">
        <f t="shared" si="1"/>
        <v>31</v>
      </c>
      <c r="B33" s="4" t="s">
        <v>153</v>
      </c>
      <c r="C33" s="4" t="s">
        <v>154</v>
      </c>
      <c r="D33" s="3">
        <v>1.99</v>
      </c>
      <c r="E33" s="3"/>
      <c r="F33" s="3">
        <f t="shared" si="3"/>
        <v>4.3780000000000001</v>
      </c>
      <c r="G33" s="3">
        <v>5</v>
      </c>
      <c r="H33" s="4" t="s">
        <v>58</v>
      </c>
      <c r="I33" s="4" t="s">
        <v>16</v>
      </c>
      <c r="J33" s="4" t="s">
        <v>90</v>
      </c>
      <c r="K33" s="5" t="s">
        <v>18</v>
      </c>
      <c r="L33" s="4"/>
      <c r="M33" s="4" t="s">
        <v>155</v>
      </c>
      <c r="N33" s="4" t="s">
        <v>156</v>
      </c>
      <c r="O33" s="11" t="s">
        <v>87</v>
      </c>
    </row>
    <row r="34" spans="1:16" x14ac:dyDescent="0.3">
      <c r="A34">
        <f t="shared" si="1"/>
        <v>32</v>
      </c>
      <c r="B34" s="2" t="s">
        <v>157</v>
      </c>
      <c r="C34" s="2" t="s">
        <v>158</v>
      </c>
      <c r="D34" s="3">
        <v>4.99</v>
      </c>
      <c r="E34" s="3"/>
      <c r="F34" s="3">
        <f t="shared" si="3"/>
        <v>10.978000000000002</v>
      </c>
      <c r="G34" s="3">
        <v>30</v>
      </c>
      <c r="H34" s="2" t="s">
        <v>58</v>
      </c>
      <c r="I34" s="2" t="s">
        <v>16</v>
      </c>
      <c r="J34" s="2" t="s">
        <v>17</v>
      </c>
      <c r="K34" s="5" t="s">
        <v>63</v>
      </c>
      <c r="L34" s="2"/>
      <c r="M34" s="2" t="s">
        <v>159</v>
      </c>
      <c r="N34" s="2" t="s">
        <v>160</v>
      </c>
    </row>
    <row r="35" spans="1:16" x14ac:dyDescent="0.3">
      <c r="A35">
        <f t="shared" si="1"/>
        <v>33</v>
      </c>
      <c r="B35" s="4" t="s">
        <v>161</v>
      </c>
      <c r="C35" s="4" t="s">
        <v>162</v>
      </c>
      <c r="D35" s="3">
        <v>6.99</v>
      </c>
      <c r="E35" s="3"/>
      <c r="F35" s="3">
        <f t="shared" si="3"/>
        <v>15.378</v>
      </c>
      <c r="G35" s="3">
        <v>20</v>
      </c>
      <c r="H35" s="4" t="s">
        <v>58</v>
      </c>
      <c r="I35" s="4" t="s">
        <v>16</v>
      </c>
      <c r="J35" s="4" t="s">
        <v>47</v>
      </c>
      <c r="K35" s="5" t="s">
        <v>63</v>
      </c>
      <c r="L35" s="4"/>
      <c r="M35" s="4" t="s">
        <v>163</v>
      </c>
      <c r="N35" s="4" t="s">
        <v>164</v>
      </c>
    </row>
    <row r="36" spans="1:16" x14ac:dyDescent="0.3">
      <c r="A36">
        <f t="shared" si="1"/>
        <v>34</v>
      </c>
      <c r="B36" s="2" t="s">
        <v>165</v>
      </c>
      <c r="C36" s="2" t="s">
        <v>166</v>
      </c>
      <c r="D36" s="3">
        <v>6.99</v>
      </c>
      <c r="E36" s="3"/>
      <c r="F36" s="3">
        <f t="shared" si="3"/>
        <v>15.378</v>
      </c>
      <c r="G36" s="3">
        <v>20</v>
      </c>
      <c r="H36" s="2" t="s">
        <v>58</v>
      </c>
      <c r="I36" s="2" t="s">
        <v>16</v>
      </c>
      <c r="J36" s="2" t="s">
        <v>47</v>
      </c>
      <c r="K36" s="5" t="s">
        <v>48</v>
      </c>
      <c r="L36" s="2"/>
      <c r="M36" s="2" t="s">
        <v>167</v>
      </c>
      <c r="N36" s="2" t="s">
        <v>168</v>
      </c>
      <c r="O36" t="s">
        <v>51</v>
      </c>
    </row>
    <row r="37" spans="1:16" s="12" customFormat="1" x14ac:dyDescent="0.3">
      <c r="A37" s="12">
        <f t="shared" si="1"/>
        <v>35</v>
      </c>
      <c r="B37" s="13" t="s">
        <v>169</v>
      </c>
      <c r="C37" s="13" t="s">
        <v>170</v>
      </c>
      <c r="D37" s="14">
        <v>3.99</v>
      </c>
      <c r="E37" s="14"/>
      <c r="F37" s="14">
        <f t="shared" si="3"/>
        <v>8.7780000000000005</v>
      </c>
      <c r="G37" s="14">
        <v>18</v>
      </c>
      <c r="H37" s="13" t="s">
        <v>58</v>
      </c>
      <c r="I37" s="13" t="s">
        <v>16</v>
      </c>
      <c r="J37" s="13" t="s">
        <v>47</v>
      </c>
      <c r="K37" s="15" t="s">
        <v>18</v>
      </c>
      <c r="L37" s="13"/>
      <c r="M37" s="13" t="s">
        <v>171</v>
      </c>
      <c r="N37" s="13" t="s">
        <v>172</v>
      </c>
      <c r="O37" s="16" t="s">
        <v>93</v>
      </c>
    </row>
    <row r="38" spans="1:16" x14ac:dyDescent="0.3">
      <c r="A38">
        <f t="shared" si="1"/>
        <v>36</v>
      </c>
      <c r="B38" s="2" t="s">
        <v>173</v>
      </c>
      <c r="C38" s="2" t="s">
        <v>162</v>
      </c>
      <c r="D38" s="3">
        <v>6.99</v>
      </c>
      <c r="E38" s="3"/>
      <c r="F38" s="3">
        <f t="shared" si="3"/>
        <v>15.378</v>
      </c>
      <c r="G38" s="3">
        <v>20</v>
      </c>
      <c r="H38" s="2" t="s">
        <v>58</v>
      </c>
      <c r="I38" s="2" t="s">
        <v>16</v>
      </c>
      <c r="J38" s="2" t="s">
        <v>47</v>
      </c>
      <c r="K38" s="5" t="s">
        <v>63</v>
      </c>
      <c r="L38" s="2"/>
      <c r="M38" s="2" t="s">
        <v>174</v>
      </c>
      <c r="N38" s="2" t="s">
        <v>175</v>
      </c>
    </row>
    <row r="39" spans="1:16" x14ac:dyDescent="0.3">
      <c r="A39">
        <f t="shared" si="1"/>
        <v>37</v>
      </c>
      <c r="B39" s="4" t="s">
        <v>176</v>
      </c>
      <c r="C39" s="4" t="s">
        <v>177</v>
      </c>
      <c r="D39" s="3">
        <v>5.99</v>
      </c>
      <c r="E39" s="3"/>
      <c r="F39" s="3">
        <f t="shared" si="3"/>
        <v>13.178000000000001</v>
      </c>
      <c r="G39" s="3">
        <v>25</v>
      </c>
      <c r="H39" s="4" t="s">
        <v>58</v>
      </c>
      <c r="I39" s="4" t="s">
        <v>16</v>
      </c>
      <c r="J39" s="4" t="s">
        <v>47</v>
      </c>
      <c r="K39" s="5" t="s">
        <v>63</v>
      </c>
      <c r="L39" s="4"/>
      <c r="M39" s="4" t="s">
        <v>178</v>
      </c>
      <c r="N39" s="4" t="s">
        <v>179</v>
      </c>
    </row>
    <row r="40" spans="1:16" s="12" customFormat="1" x14ac:dyDescent="0.3">
      <c r="A40" s="12">
        <f t="shared" si="1"/>
        <v>38</v>
      </c>
      <c r="B40" s="13" t="s">
        <v>180</v>
      </c>
      <c r="C40" s="13" t="s">
        <v>181</v>
      </c>
      <c r="D40" s="14">
        <v>3.99</v>
      </c>
      <c r="E40" s="14"/>
      <c r="F40" s="14">
        <f t="shared" si="3"/>
        <v>8.7780000000000005</v>
      </c>
      <c r="G40" s="14">
        <v>20</v>
      </c>
      <c r="H40" s="13" t="s">
        <v>58</v>
      </c>
      <c r="I40" s="13" t="s">
        <v>16</v>
      </c>
      <c r="J40" s="13" t="s">
        <v>90</v>
      </c>
      <c r="K40" s="15" t="s">
        <v>18</v>
      </c>
      <c r="L40" s="13"/>
      <c r="M40" s="13" t="s">
        <v>182</v>
      </c>
      <c r="N40" s="13" t="s">
        <v>183</v>
      </c>
      <c r="O40" s="16" t="s">
        <v>93</v>
      </c>
    </row>
    <row r="41" spans="1:16" s="12" customFormat="1" x14ac:dyDescent="0.3">
      <c r="A41" s="12">
        <f t="shared" si="1"/>
        <v>39</v>
      </c>
      <c r="B41" s="13" t="s">
        <v>184</v>
      </c>
      <c r="C41" s="13" t="s">
        <v>185</v>
      </c>
      <c r="D41" s="14">
        <v>7.99</v>
      </c>
      <c r="E41" s="14"/>
      <c r="F41" s="14">
        <f t="shared" si="3"/>
        <v>17.577999999999999</v>
      </c>
      <c r="G41" s="14">
        <v>25</v>
      </c>
      <c r="H41" s="13" t="s">
        <v>58</v>
      </c>
      <c r="I41" s="13" t="s">
        <v>16</v>
      </c>
      <c r="J41" s="13" t="s">
        <v>47</v>
      </c>
      <c r="K41" s="15" t="s">
        <v>18</v>
      </c>
      <c r="L41" s="13"/>
      <c r="M41" s="13" t="s">
        <v>186</v>
      </c>
      <c r="N41" s="13" t="s">
        <v>187</v>
      </c>
      <c r="O41" s="16" t="s">
        <v>93</v>
      </c>
    </row>
    <row r="42" spans="1:16" x14ac:dyDescent="0.3">
      <c r="A42">
        <f t="shared" si="1"/>
        <v>40</v>
      </c>
      <c r="B42" s="2" t="s">
        <v>188</v>
      </c>
      <c r="C42" s="2" t="s">
        <v>189</v>
      </c>
      <c r="D42" s="3">
        <v>5.99</v>
      </c>
      <c r="E42" s="3"/>
      <c r="F42" s="3">
        <f t="shared" ref="F42:F67" si="4">+D42*120%+D42</f>
        <v>13.178000000000001</v>
      </c>
      <c r="G42" s="3">
        <v>15</v>
      </c>
      <c r="H42" s="2" t="s">
        <v>58</v>
      </c>
      <c r="I42" s="2" t="s">
        <v>16</v>
      </c>
      <c r="J42" s="2" t="s">
        <v>17</v>
      </c>
      <c r="K42" s="5" t="s">
        <v>18</v>
      </c>
      <c r="L42" s="2"/>
      <c r="M42" s="2" t="s">
        <v>190</v>
      </c>
      <c r="N42" s="2" t="s">
        <v>191</v>
      </c>
      <c r="O42" s="18" t="s">
        <v>87</v>
      </c>
    </row>
    <row r="43" spans="1:16" x14ac:dyDescent="0.3">
      <c r="A43">
        <f t="shared" si="1"/>
        <v>41</v>
      </c>
      <c r="B43" s="4" t="s">
        <v>192</v>
      </c>
      <c r="C43" s="4" t="s">
        <v>193</v>
      </c>
      <c r="D43" s="3">
        <v>3.99</v>
      </c>
      <c r="E43" s="3"/>
      <c r="F43" s="3">
        <f t="shared" si="4"/>
        <v>8.7780000000000005</v>
      </c>
      <c r="G43" s="3">
        <v>15</v>
      </c>
      <c r="H43" s="4" t="s">
        <v>58</v>
      </c>
      <c r="I43" s="4" t="s">
        <v>16</v>
      </c>
      <c r="J43" s="4" t="s">
        <v>47</v>
      </c>
      <c r="K43" s="5" t="s">
        <v>63</v>
      </c>
      <c r="L43" s="4"/>
      <c r="M43" s="4" t="s">
        <v>194</v>
      </c>
      <c r="N43" s="4" t="s">
        <v>195</v>
      </c>
    </row>
    <row r="44" spans="1:16" s="12" customFormat="1" x14ac:dyDescent="0.3">
      <c r="A44" s="12">
        <f t="shared" si="1"/>
        <v>42</v>
      </c>
      <c r="B44" s="13" t="s">
        <v>196</v>
      </c>
      <c r="C44" s="13" t="s">
        <v>197</v>
      </c>
      <c r="D44" s="14">
        <v>6.99</v>
      </c>
      <c r="E44" s="14"/>
      <c r="F44" s="14">
        <f t="shared" si="4"/>
        <v>15.378</v>
      </c>
      <c r="G44" s="14">
        <v>30</v>
      </c>
      <c r="H44" s="13" t="s">
        <v>58</v>
      </c>
      <c r="I44" s="13" t="s">
        <v>16</v>
      </c>
      <c r="J44" s="13" t="s">
        <v>47</v>
      </c>
      <c r="K44" s="15" t="s">
        <v>18</v>
      </c>
      <c r="L44" s="13"/>
      <c r="M44" s="13" t="s">
        <v>198</v>
      </c>
      <c r="N44" s="13" t="s">
        <v>199</v>
      </c>
      <c r="O44" s="16" t="s">
        <v>93</v>
      </c>
    </row>
    <row r="45" spans="1:16" x14ac:dyDescent="0.3">
      <c r="A45">
        <f t="shared" si="1"/>
        <v>43</v>
      </c>
      <c r="B45" s="4" t="s">
        <v>200</v>
      </c>
      <c r="C45" s="4" t="s">
        <v>201</v>
      </c>
      <c r="D45" s="3">
        <v>3.99</v>
      </c>
      <c r="E45" s="3"/>
      <c r="F45" s="3">
        <f t="shared" si="4"/>
        <v>8.7780000000000005</v>
      </c>
      <c r="G45" s="3">
        <v>30</v>
      </c>
      <c r="H45" s="4" t="s">
        <v>58</v>
      </c>
      <c r="I45" s="4" t="s">
        <v>16</v>
      </c>
      <c r="J45" s="4" t="s">
        <v>47</v>
      </c>
      <c r="K45" s="5" t="s">
        <v>63</v>
      </c>
      <c r="L45" s="4"/>
      <c r="M45" s="4" t="s">
        <v>202</v>
      </c>
      <c r="N45" s="4" t="s">
        <v>203</v>
      </c>
    </row>
    <row r="46" spans="1:16" x14ac:dyDescent="0.3">
      <c r="A46">
        <f t="shared" si="1"/>
        <v>44</v>
      </c>
      <c r="B46" s="2" t="s">
        <v>204</v>
      </c>
      <c r="C46" s="2" t="s">
        <v>205</v>
      </c>
      <c r="D46" s="3">
        <v>2.99</v>
      </c>
      <c r="E46" s="3"/>
      <c r="F46" s="3">
        <f t="shared" si="4"/>
        <v>6.5780000000000003</v>
      </c>
      <c r="G46" s="3">
        <v>15</v>
      </c>
      <c r="H46" s="2" t="s">
        <v>58</v>
      </c>
      <c r="I46" s="2" t="s">
        <v>16</v>
      </c>
      <c r="J46" s="2" t="s">
        <v>17</v>
      </c>
      <c r="K46" s="5" t="s">
        <v>63</v>
      </c>
      <c r="L46" s="2"/>
      <c r="M46" s="2" t="s">
        <v>206</v>
      </c>
      <c r="N46" s="2" t="s">
        <v>207</v>
      </c>
    </row>
    <row r="47" spans="1:16" x14ac:dyDescent="0.3">
      <c r="A47">
        <f t="shared" si="1"/>
        <v>45</v>
      </c>
      <c r="B47" s="4" t="s">
        <v>208</v>
      </c>
      <c r="C47" s="4" t="s">
        <v>209</v>
      </c>
      <c r="D47" s="3">
        <v>3.99</v>
      </c>
      <c r="E47" s="3"/>
      <c r="F47" s="3">
        <f t="shared" si="4"/>
        <v>8.7780000000000005</v>
      </c>
      <c r="G47" s="3">
        <v>25</v>
      </c>
      <c r="H47" s="4" t="s">
        <v>58</v>
      </c>
      <c r="I47" s="4" t="s">
        <v>16</v>
      </c>
      <c r="J47" s="4" t="s">
        <v>17</v>
      </c>
      <c r="K47" s="5" t="s">
        <v>18</v>
      </c>
      <c r="L47" s="4"/>
      <c r="M47" s="4" t="s">
        <v>210</v>
      </c>
      <c r="N47" s="4" t="s">
        <v>211</v>
      </c>
      <c r="O47" t="s">
        <v>81</v>
      </c>
      <c r="P47" t="s">
        <v>82</v>
      </c>
    </row>
    <row r="48" spans="1:16" ht="16.5" customHeight="1" x14ac:dyDescent="0.3">
      <c r="A48">
        <f t="shared" si="1"/>
        <v>46</v>
      </c>
      <c r="B48" s="2" t="s">
        <v>212</v>
      </c>
      <c r="C48" s="2" t="s">
        <v>213</v>
      </c>
      <c r="D48" s="3">
        <v>5.99</v>
      </c>
      <c r="E48" s="3"/>
      <c r="F48" s="3">
        <f t="shared" si="4"/>
        <v>13.178000000000001</v>
      </c>
      <c r="G48" s="3">
        <v>30</v>
      </c>
      <c r="H48" s="2" t="s">
        <v>58</v>
      </c>
      <c r="I48" s="2" t="s">
        <v>16</v>
      </c>
      <c r="J48" s="2" t="s">
        <v>17</v>
      </c>
      <c r="K48" s="5" t="s">
        <v>63</v>
      </c>
      <c r="L48" s="2"/>
      <c r="M48" s="2" t="s">
        <v>214</v>
      </c>
      <c r="N48" s="2" t="s">
        <v>215</v>
      </c>
    </row>
    <row r="49" spans="1:16" x14ac:dyDescent="0.3">
      <c r="A49">
        <f t="shared" si="1"/>
        <v>47</v>
      </c>
      <c r="B49" s="2" t="s">
        <v>216</v>
      </c>
      <c r="C49" s="2" t="s">
        <v>217</v>
      </c>
      <c r="D49" s="3">
        <v>4.78</v>
      </c>
      <c r="E49" s="3"/>
      <c r="F49" s="3">
        <f t="shared" si="4"/>
        <v>10.516</v>
      </c>
      <c r="G49" s="3">
        <v>20</v>
      </c>
      <c r="H49" s="2" t="s">
        <v>58</v>
      </c>
      <c r="I49" s="2" t="s">
        <v>16</v>
      </c>
      <c r="J49" s="2" t="s">
        <v>47</v>
      </c>
      <c r="K49" s="5" t="s">
        <v>18</v>
      </c>
      <c r="L49" s="2"/>
      <c r="M49" s="2" t="s">
        <v>218</v>
      </c>
      <c r="N49" s="2" t="s">
        <v>219</v>
      </c>
      <c r="O49" s="10" t="s">
        <v>22</v>
      </c>
    </row>
    <row r="50" spans="1:16" x14ac:dyDescent="0.3">
      <c r="A50">
        <f t="shared" si="1"/>
        <v>48</v>
      </c>
      <c r="B50" s="4" t="s">
        <v>220</v>
      </c>
      <c r="C50" s="17" t="s">
        <v>221</v>
      </c>
      <c r="D50" s="3">
        <v>5.38</v>
      </c>
      <c r="E50" s="3"/>
      <c r="F50" s="3">
        <f t="shared" si="4"/>
        <v>11.835999999999999</v>
      </c>
      <c r="G50" s="3">
        <v>15</v>
      </c>
      <c r="H50" s="4" t="s">
        <v>58</v>
      </c>
      <c r="I50" s="4" t="s">
        <v>16</v>
      </c>
      <c r="J50" s="4" t="s">
        <v>47</v>
      </c>
      <c r="K50" s="5" t="s">
        <v>18</v>
      </c>
      <c r="L50" s="4"/>
      <c r="M50" s="4" t="s">
        <v>222</v>
      </c>
      <c r="N50" s="4" t="s">
        <v>223</v>
      </c>
    </row>
    <row r="51" spans="1:16" x14ac:dyDescent="0.3">
      <c r="A51">
        <f t="shared" si="1"/>
        <v>49</v>
      </c>
      <c r="B51" s="2" t="s">
        <v>224</v>
      </c>
      <c r="C51" s="2" t="s">
        <v>225</v>
      </c>
      <c r="D51" s="3">
        <v>5.98</v>
      </c>
      <c r="E51" s="3"/>
      <c r="F51" s="3">
        <f t="shared" si="4"/>
        <v>13.156000000000001</v>
      </c>
      <c r="G51" s="3">
        <v>25</v>
      </c>
      <c r="H51" s="2" t="s">
        <v>58</v>
      </c>
      <c r="I51" s="2" t="s">
        <v>16</v>
      </c>
      <c r="J51" s="2" t="s">
        <v>17</v>
      </c>
      <c r="K51" s="5" t="s">
        <v>18</v>
      </c>
      <c r="L51" s="2"/>
      <c r="M51" s="2" t="s">
        <v>226</v>
      </c>
      <c r="N51" s="2" t="s">
        <v>227</v>
      </c>
      <c r="O51" t="s">
        <v>228</v>
      </c>
    </row>
    <row r="52" spans="1:16" x14ac:dyDescent="0.3">
      <c r="A52">
        <f t="shared" si="1"/>
        <v>50</v>
      </c>
      <c r="B52" s="4" t="s">
        <v>229</v>
      </c>
      <c r="C52" s="4" t="s">
        <v>230</v>
      </c>
      <c r="D52" s="3">
        <v>8.39</v>
      </c>
      <c r="E52" s="3"/>
      <c r="F52" s="3">
        <f t="shared" si="4"/>
        <v>18.457999999999998</v>
      </c>
      <c r="G52" s="3">
        <v>35</v>
      </c>
      <c r="H52" s="4" t="s">
        <v>58</v>
      </c>
      <c r="I52" s="4" t="s">
        <v>16</v>
      </c>
      <c r="J52" s="4" t="s">
        <v>17</v>
      </c>
      <c r="K52" s="5" t="s">
        <v>63</v>
      </c>
      <c r="L52" s="4"/>
      <c r="M52" s="4" t="s">
        <v>231</v>
      </c>
      <c r="N52" s="4" t="s">
        <v>232</v>
      </c>
    </row>
    <row r="53" spans="1:16" x14ac:dyDescent="0.3">
      <c r="A53">
        <f t="shared" si="1"/>
        <v>51</v>
      </c>
      <c r="B53" s="2" t="s">
        <v>233</v>
      </c>
      <c r="C53" s="2" t="s">
        <v>234</v>
      </c>
      <c r="D53" s="3">
        <v>4.78</v>
      </c>
      <c r="E53" s="3"/>
      <c r="F53" s="3">
        <f t="shared" si="4"/>
        <v>10.516</v>
      </c>
      <c r="G53" s="3">
        <v>15</v>
      </c>
      <c r="H53" s="2" t="s">
        <v>58</v>
      </c>
      <c r="I53" s="2" t="s">
        <v>16</v>
      </c>
      <c r="J53" s="2" t="s">
        <v>17</v>
      </c>
      <c r="K53" s="5" t="s">
        <v>48</v>
      </c>
      <c r="L53" s="2"/>
      <c r="M53" s="2" t="s">
        <v>235</v>
      </c>
      <c r="N53" s="2" t="s">
        <v>236</v>
      </c>
      <c r="O53" t="s">
        <v>51</v>
      </c>
    </row>
    <row r="54" spans="1:16" x14ac:dyDescent="0.3">
      <c r="A54">
        <f t="shared" si="1"/>
        <v>52</v>
      </c>
      <c r="B54" s="4" t="s">
        <v>237</v>
      </c>
      <c r="C54" s="4" t="s">
        <v>225</v>
      </c>
      <c r="D54" s="3">
        <v>5.98</v>
      </c>
      <c r="E54" s="3"/>
      <c r="F54" s="3">
        <f t="shared" si="4"/>
        <v>13.156000000000001</v>
      </c>
      <c r="G54" s="3">
        <v>25</v>
      </c>
      <c r="H54" s="4" t="s">
        <v>58</v>
      </c>
      <c r="I54" s="4" t="s">
        <v>16</v>
      </c>
      <c r="J54" s="4" t="s">
        <v>17</v>
      </c>
      <c r="K54" s="5" t="s">
        <v>63</v>
      </c>
      <c r="L54" s="4"/>
      <c r="M54" s="4" t="s">
        <v>238</v>
      </c>
      <c r="N54" s="4" t="s">
        <v>239</v>
      </c>
    </row>
    <row r="55" spans="1:16" s="12" customFormat="1" x14ac:dyDescent="0.3">
      <c r="A55" s="12">
        <f t="shared" si="1"/>
        <v>53</v>
      </c>
      <c r="B55" s="13" t="s">
        <v>240</v>
      </c>
      <c r="C55" s="13" t="s">
        <v>241</v>
      </c>
      <c r="D55" s="14">
        <v>6.88</v>
      </c>
      <c r="E55" s="14"/>
      <c r="F55" s="14">
        <f t="shared" si="4"/>
        <v>15.135999999999999</v>
      </c>
      <c r="G55" s="14">
        <v>20</v>
      </c>
      <c r="H55" s="13" t="s">
        <v>58</v>
      </c>
      <c r="I55" s="13" t="s">
        <v>16</v>
      </c>
      <c r="J55" s="13" t="s">
        <v>17</v>
      </c>
      <c r="K55" s="15" t="s">
        <v>18</v>
      </c>
      <c r="L55" s="13"/>
      <c r="M55" s="13" t="s">
        <v>242</v>
      </c>
      <c r="N55" s="13" t="s">
        <v>243</v>
      </c>
      <c r="O55" s="12" t="s">
        <v>93</v>
      </c>
    </row>
    <row r="56" spans="1:16" x14ac:dyDescent="0.3">
      <c r="A56">
        <f t="shared" si="1"/>
        <v>54</v>
      </c>
      <c r="B56" s="4" t="s">
        <v>244</v>
      </c>
      <c r="C56" s="4" t="s">
        <v>245</v>
      </c>
      <c r="D56" s="3">
        <v>8.39</v>
      </c>
      <c r="E56" s="3"/>
      <c r="F56" s="3">
        <f t="shared" si="4"/>
        <v>18.457999999999998</v>
      </c>
      <c r="G56" s="3">
        <v>35</v>
      </c>
      <c r="H56" s="4" t="s">
        <v>58</v>
      </c>
      <c r="I56" s="4" t="s">
        <v>16</v>
      </c>
      <c r="J56" s="4" t="s">
        <v>47</v>
      </c>
      <c r="K56" s="5" t="s">
        <v>63</v>
      </c>
      <c r="L56" s="4"/>
      <c r="M56" s="4" t="s">
        <v>246</v>
      </c>
      <c r="N56" s="4" t="s">
        <v>247</v>
      </c>
    </row>
    <row r="57" spans="1:16" x14ac:dyDescent="0.3">
      <c r="A57">
        <f t="shared" si="1"/>
        <v>55</v>
      </c>
      <c r="B57" s="2" t="s">
        <v>248</v>
      </c>
      <c r="C57" s="2" t="s">
        <v>217</v>
      </c>
      <c r="D57" s="3">
        <v>4.78</v>
      </c>
      <c r="E57" s="3"/>
      <c r="F57" s="3">
        <f t="shared" si="4"/>
        <v>10.516</v>
      </c>
      <c r="G57" s="3">
        <v>20</v>
      </c>
      <c r="H57" s="2" t="s">
        <v>58</v>
      </c>
      <c r="I57" s="2" t="s">
        <v>16</v>
      </c>
      <c r="J57" s="2" t="s">
        <v>17</v>
      </c>
      <c r="K57" s="5" t="s">
        <v>48</v>
      </c>
      <c r="L57" s="2"/>
      <c r="M57" s="2" t="s">
        <v>249</v>
      </c>
      <c r="N57" s="2" t="s">
        <v>250</v>
      </c>
      <c r="O57" t="s">
        <v>51</v>
      </c>
    </row>
    <row r="58" spans="1:16" x14ac:dyDescent="0.3">
      <c r="A58">
        <f t="shared" si="1"/>
        <v>56</v>
      </c>
      <c r="B58" s="4" t="s">
        <v>251</v>
      </c>
      <c r="C58" s="4" t="s">
        <v>252</v>
      </c>
      <c r="D58" s="3">
        <v>4.78</v>
      </c>
      <c r="E58" s="3"/>
      <c r="F58" s="3">
        <f t="shared" si="4"/>
        <v>10.516</v>
      </c>
      <c r="G58" s="3">
        <v>20</v>
      </c>
      <c r="H58" s="4" t="s">
        <v>58</v>
      </c>
      <c r="I58" s="4" t="s">
        <v>16</v>
      </c>
      <c r="J58" s="4" t="s">
        <v>47</v>
      </c>
      <c r="K58" s="5" t="s">
        <v>48</v>
      </c>
      <c r="L58" s="4"/>
      <c r="M58" s="4" t="s">
        <v>253</v>
      </c>
      <c r="N58" s="4" t="s">
        <v>254</v>
      </c>
      <c r="O58" t="s">
        <v>51</v>
      </c>
    </row>
    <row r="59" spans="1:16" s="12" customFormat="1" x14ac:dyDescent="0.3">
      <c r="A59" s="12">
        <f t="shared" si="1"/>
        <v>57</v>
      </c>
      <c r="B59" s="13" t="s">
        <v>255</v>
      </c>
      <c r="C59" s="13" t="s">
        <v>256</v>
      </c>
      <c r="D59" s="14">
        <v>5.98</v>
      </c>
      <c r="E59" s="14"/>
      <c r="F59" s="14">
        <f t="shared" si="4"/>
        <v>13.156000000000001</v>
      </c>
      <c r="G59" s="14">
        <v>25</v>
      </c>
      <c r="H59" s="13" t="s">
        <v>58</v>
      </c>
      <c r="I59" s="13" t="s">
        <v>16</v>
      </c>
      <c r="J59" s="13" t="s">
        <v>47</v>
      </c>
      <c r="K59" s="15" t="s">
        <v>63</v>
      </c>
      <c r="L59" s="13"/>
      <c r="M59" s="13" t="s">
        <v>257</v>
      </c>
      <c r="N59" s="13" t="s">
        <v>258</v>
      </c>
      <c r="O59" s="16" t="s">
        <v>93</v>
      </c>
    </row>
    <row r="60" spans="1:16" x14ac:dyDescent="0.3">
      <c r="A60">
        <f t="shared" si="1"/>
        <v>58</v>
      </c>
      <c r="B60" s="4" t="s">
        <v>259</v>
      </c>
      <c r="C60" s="4" t="s">
        <v>260</v>
      </c>
      <c r="D60" s="3">
        <v>4.78</v>
      </c>
      <c r="E60" s="3"/>
      <c r="F60" s="3">
        <f t="shared" si="4"/>
        <v>10.516</v>
      </c>
      <c r="G60" s="3">
        <v>12</v>
      </c>
      <c r="H60" s="4" t="s">
        <v>58</v>
      </c>
      <c r="I60" s="4" t="s">
        <v>16</v>
      </c>
      <c r="J60" s="4" t="s">
        <v>17</v>
      </c>
      <c r="K60" s="5" t="s">
        <v>18</v>
      </c>
      <c r="L60" s="4"/>
      <c r="M60" s="4" t="s">
        <v>261</v>
      </c>
      <c r="N60" s="4" t="s">
        <v>262</v>
      </c>
      <c r="O60" t="s">
        <v>228</v>
      </c>
    </row>
    <row r="61" spans="1:16" x14ac:dyDescent="0.3">
      <c r="A61">
        <f t="shared" si="1"/>
        <v>59</v>
      </c>
      <c r="B61" s="2" t="s">
        <v>263</v>
      </c>
      <c r="C61" s="2" t="s">
        <v>264</v>
      </c>
      <c r="D61" s="3">
        <v>3.88</v>
      </c>
      <c r="E61" s="3"/>
      <c r="F61" s="3">
        <f t="shared" si="4"/>
        <v>8.5359999999999996</v>
      </c>
      <c r="G61" s="3">
        <v>20</v>
      </c>
      <c r="H61" s="2" t="s">
        <v>58</v>
      </c>
      <c r="I61" s="2" t="s">
        <v>16</v>
      </c>
      <c r="J61" s="2" t="s">
        <v>47</v>
      </c>
      <c r="K61" s="5" t="s">
        <v>18</v>
      </c>
      <c r="L61" s="2"/>
      <c r="M61" s="2" t="s">
        <v>265</v>
      </c>
      <c r="N61" s="2" t="s">
        <v>266</v>
      </c>
      <c r="O61" t="s">
        <v>267</v>
      </c>
      <c r="P61" t="s">
        <v>82</v>
      </c>
    </row>
    <row r="62" spans="1:16" s="12" customFormat="1" x14ac:dyDescent="0.3">
      <c r="A62" s="12">
        <f t="shared" si="1"/>
        <v>60</v>
      </c>
      <c r="B62" s="13" t="s">
        <v>268</v>
      </c>
      <c r="C62" s="13" t="s">
        <v>269</v>
      </c>
      <c r="D62" s="14">
        <v>5.19</v>
      </c>
      <c r="E62" s="14"/>
      <c r="F62" s="14">
        <f t="shared" si="4"/>
        <v>11.418000000000001</v>
      </c>
      <c r="G62" s="14">
        <v>30</v>
      </c>
      <c r="H62" s="13" t="s">
        <v>58</v>
      </c>
      <c r="I62" s="13" t="s">
        <v>16</v>
      </c>
      <c r="J62" s="13" t="s">
        <v>47</v>
      </c>
      <c r="K62" s="15" t="s">
        <v>18</v>
      </c>
      <c r="L62" s="13"/>
      <c r="M62" s="13" t="s">
        <v>270</v>
      </c>
      <c r="N62" s="13" t="s">
        <v>271</v>
      </c>
      <c r="O62" s="16" t="s">
        <v>93</v>
      </c>
    </row>
    <row r="63" spans="1:16" x14ac:dyDescent="0.3">
      <c r="A63">
        <f t="shared" si="1"/>
        <v>61</v>
      </c>
      <c r="B63" s="2" t="s">
        <v>272</v>
      </c>
      <c r="C63" s="2" t="s">
        <v>217</v>
      </c>
      <c r="D63" s="3">
        <v>4.78</v>
      </c>
      <c r="E63" s="3"/>
      <c r="F63" s="3">
        <f t="shared" si="4"/>
        <v>10.516</v>
      </c>
      <c r="G63" s="3">
        <v>20</v>
      </c>
      <c r="H63" s="2" t="s">
        <v>58</v>
      </c>
      <c r="I63" s="2" t="s">
        <v>16</v>
      </c>
      <c r="J63" s="2" t="s">
        <v>47</v>
      </c>
      <c r="K63" s="5" t="s">
        <v>18</v>
      </c>
      <c r="L63" s="2"/>
      <c r="M63" s="2" t="s">
        <v>273</v>
      </c>
      <c r="N63" s="2" t="s">
        <v>274</v>
      </c>
    </row>
    <row r="64" spans="1:16" x14ac:dyDescent="0.3">
      <c r="A64">
        <f t="shared" si="1"/>
        <v>62</v>
      </c>
      <c r="B64" s="4" t="s">
        <v>275</v>
      </c>
      <c r="C64" s="4" t="s">
        <v>276</v>
      </c>
      <c r="D64" s="3">
        <v>5.98</v>
      </c>
      <c r="E64" s="3"/>
      <c r="F64" s="3">
        <f t="shared" si="4"/>
        <v>13.156000000000001</v>
      </c>
      <c r="G64" s="3">
        <v>20</v>
      </c>
      <c r="H64" s="4" t="s">
        <v>58</v>
      </c>
      <c r="I64" s="4" t="s">
        <v>16</v>
      </c>
      <c r="J64" s="4" t="s">
        <v>47</v>
      </c>
      <c r="K64" s="5" t="s">
        <v>18</v>
      </c>
      <c r="L64" s="4"/>
      <c r="M64" s="4" t="s">
        <v>277</v>
      </c>
      <c r="N64" s="4" t="s">
        <v>278</v>
      </c>
      <c r="O64" t="s">
        <v>228</v>
      </c>
    </row>
    <row r="65" spans="1:16" x14ac:dyDescent="0.3">
      <c r="A65">
        <f t="shared" si="1"/>
        <v>63</v>
      </c>
      <c r="B65" s="2" t="s">
        <v>279</v>
      </c>
      <c r="C65" s="2" t="s">
        <v>280</v>
      </c>
      <c r="D65" s="3">
        <v>5.98</v>
      </c>
      <c r="E65" s="3"/>
      <c r="F65" s="3">
        <f t="shared" si="4"/>
        <v>13.156000000000001</v>
      </c>
      <c r="G65" s="3">
        <v>20</v>
      </c>
      <c r="H65" s="2" t="s">
        <v>58</v>
      </c>
      <c r="I65" s="2" t="s">
        <v>16</v>
      </c>
      <c r="J65" s="2" t="s">
        <v>47</v>
      </c>
      <c r="K65" s="5" t="s">
        <v>63</v>
      </c>
      <c r="L65" s="2"/>
      <c r="M65" s="2" t="s">
        <v>281</v>
      </c>
      <c r="N65" s="2" t="s">
        <v>282</v>
      </c>
    </row>
    <row r="66" spans="1:16" x14ac:dyDescent="0.3">
      <c r="A66">
        <f t="shared" si="1"/>
        <v>64</v>
      </c>
      <c r="B66" s="4" t="s">
        <v>283</v>
      </c>
      <c r="C66" s="4" t="s">
        <v>284</v>
      </c>
      <c r="D66" s="3">
        <v>5.38</v>
      </c>
      <c r="E66" s="3"/>
      <c r="F66" s="3">
        <f t="shared" si="4"/>
        <v>11.835999999999999</v>
      </c>
      <c r="G66" s="3">
        <v>20</v>
      </c>
      <c r="H66" s="4" t="s">
        <v>58</v>
      </c>
      <c r="I66" s="4" t="s">
        <v>16</v>
      </c>
      <c r="J66" s="4" t="s">
        <v>47</v>
      </c>
      <c r="K66" s="5" t="s">
        <v>48</v>
      </c>
      <c r="L66" s="4"/>
      <c r="M66" s="4" t="s">
        <v>285</v>
      </c>
      <c r="N66" s="4" t="s">
        <v>286</v>
      </c>
      <c r="O66" t="s">
        <v>228</v>
      </c>
    </row>
    <row r="67" spans="1:16" x14ac:dyDescent="0.3">
      <c r="A67">
        <f t="shared" si="1"/>
        <v>65</v>
      </c>
      <c r="B67" s="2" t="s">
        <v>287</v>
      </c>
      <c r="C67" s="2" t="s">
        <v>217</v>
      </c>
      <c r="D67" s="3">
        <v>4.78</v>
      </c>
      <c r="E67" s="3"/>
      <c r="F67" s="3">
        <f t="shared" si="4"/>
        <v>10.516</v>
      </c>
      <c r="G67" s="3">
        <v>20</v>
      </c>
      <c r="H67" s="2" t="s">
        <v>58</v>
      </c>
      <c r="I67" s="2" t="s">
        <v>16</v>
      </c>
      <c r="J67" s="2" t="s">
        <v>17</v>
      </c>
      <c r="K67" s="5" t="s">
        <v>63</v>
      </c>
      <c r="L67" s="2"/>
      <c r="M67" s="2" t="s">
        <v>288</v>
      </c>
      <c r="N67" s="2" t="s">
        <v>289</v>
      </c>
    </row>
    <row r="68" spans="1:16" x14ac:dyDescent="0.3">
      <c r="A68">
        <f t="shared" si="1"/>
        <v>66</v>
      </c>
      <c r="B68" s="4" t="s">
        <v>290</v>
      </c>
      <c r="C68" s="4" t="s">
        <v>291</v>
      </c>
      <c r="D68" s="3">
        <v>5.38</v>
      </c>
      <c r="E68" s="3"/>
      <c r="F68" s="3">
        <f t="shared" ref="F68:F72" si="5">+D68*120%+D68</f>
        <v>11.835999999999999</v>
      </c>
      <c r="G68" s="3">
        <v>30</v>
      </c>
      <c r="H68" s="4" t="s">
        <v>58</v>
      </c>
      <c r="I68" s="4" t="s">
        <v>16</v>
      </c>
      <c r="J68" s="4" t="s">
        <v>47</v>
      </c>
      <c r="K68" s="5" t="s">
        <v>18</v>
      </c>
      <c r="L68" s="4"/>
      <c r="M68" s="4" t="s">
        <v>292</v>
      </c>
      <c r="N68" s="4" t="s">
        <v>293</v>
      </c>
      <c r="O68" t="s">
        <v>294</v>
      </c>
    </row>
    <row r="69" spans="1:16" x14ac:dyDescent="0.3">
      <c r="A69">
        <f t="shared" ref="A69:A72" si="6">1+A68</f>
        <v>67</v>
      </c>
      <c r="B69" s="2" t="s">
        <v>295</v>
      </c>
      <c r="C69" s="2" t="s">
        <v>296</v>
      </c>
      <c r="D69" s="3">
        <v>5.98</v>
      </c>
      <c r="E69" s="3"/>
      <c r="F69" s="3">
        <f t="shared" si="5"/>
        <v>13.156000000000001</v>
      </c>
      <c r="G69" s="3">
        <v>25</v>
      </c>
      <c r="H69" s="2" t="s">
        <v>58</v>
      </c>
      <c r="I69" s="2" t="s">
        <v>16</v>
      </c>
      <c r="J69" s="2" t="s">
        <v>17</v>
      </c>
      <c r="K69" s="5" t="s">
        <v>18</v>
      </c>
      <c r="L69" s="2"/>
      <c r="M69" s="2" t="s">
        <v>297</v>
      </c>
      <c r="N69" s="2" t="s">
        <v>298</v>
      </c>
      <c r="O69" s="10" t="s">
        <v>299</v>
      </c>
    </row>
    <row r="70" spans="1:16" x14ac:dyDescent="0.3">
      <c r="A70">
        <f t="shared" si="6"/>
        <v>68</v>
      </c>
      <c r="B70" s="4" t="s">
        <v>300</v>
      </c>
      <c r="C70" s="4" t="s">
        <v>256</v>
      </c>
      <c r="D70" s="3">
        <v>11.96</v>
      </c>
      <c r="E70" s="3"/>
      <c r="F70" s="3">
        <f t="shared" si="5"/>
        <v>26.312000000000001</v>
      </c>
      <c r="G70" s="3">
        <v>30</v>
      </c>
      <c r="H70" s="4" t="s">
        <v>58</v>
      </c>
      <c r="I70" s="4" t="s">
        <v>16</v>
      </c>
      <c r="J70" s="4" t="s">
        <v>47</v>
      </c>
      <c r="K70" s="5" t="s">
        <v>18</v>
      </c>
      <c r="L70" s="4"/>
      <c r="M70" s="4" t="s">
        <v>301</v>
      </c>
      <c r="N70" s="4" t="s">
        <v>302</v>
      </c>
      <c r="O70" s="11" t="s">
        <v>93</v>
      </c>
    </row>
    <row r="71" spans="1:16" x14ac:dyDescent="0.3">
      <c r="A71">
        <f t="shared" si="6"/>
        <v>69</v>
      </c>
      <c r="B71" s="2" t="s">
        <v>303</v>
      </c>
      <c r="C71" s="2" t="s">
        <v>304</v>
      </c>
      <c r="D71" s="3">
        <v>5.96</v>
      </c>
      <c r="E71" s="3"/>
      <c r="F71" s="3">
        <f t="shared" si="5"/>
        <v>13.112</v>
      </c>
      <c r="G71" s="3">
        <v>15</v>
      </c>
      <c r="H71" s="2" t="s">
        <v>58</v>
      </c>
      <c r="I71" s="2" t="s">
        <v>16</v>
      </c>
      <c r="J71" s="2" t="s">
        <v>17</v>
      </c>
      <c r="K71" s="5" t="s">
        <v>18</v>
      </c>
      <c r="L71" s="2"/>
      <c r="M71" s="2" t="s">
        <v>305</v>
      </c>
      <c r="N71" s="2" t="s">
        <v>306</v>
      </c>
      <c r="O71" s="10" t="s">
        <v>93</v>
      </c>
      <c r="P71" s="10" t="s">
        <v>87</v>
      </c>
    </row>
    <row r="72" spans="1:16" s="12" customFormat="1" x14ac:dyDescent="0.3">
      <c r="A72" s="12">
        <f t="shared" si="6"/>
        <v>70</v>
      </c>
      <c r="B72" s="13" t="s">
        <v>307</v>
      </c>
      <c r="C72" s="13" t="s">
        <v>308</v>
      </c>
      <c r="D72" s="14">
        <v>3.88</v>
      </c>
      <c r="E72" s="14"/>
      <c r="F72" s="14">
        <f t="shared" si="5"/>
        <v>8.5359999999999996</v>
      </c>
      <c r="G72" s="14">
        <v>15</v>
      </c>
      <c r="H72" s="13" t="s">
        <v>58</v>
      </c>
      <c r="I72" s="13" t="s">
        <v>16</v>
      </c>
      <c r="J72" s="13" t="s">
        <v>47</v>
      </c>
      <c r="K72" s="15" t="s">
        <v>18</v>
      </c>
      <c r="L72" s="13"/>
      <c r="M72" s="13" t="s">
        <v>309</v>
      </c>
      <c r="N72" s="13" t="s">
        <v>310</v>
      </c>
      <c r="O72" s="16" t="s">
        <v>93</v>
      </c>
    </row>
    <row r="73" spans="1:16" x14ac:dyDescent="0.3">
      <c r="A73">
        <v>71</v>
      </c>
      <c r="B73">
        <v>93</v>
      </c>
      <c r="C73" s="10" t="s">
        <v>311</v>
      </c>
      <c r="D73" s="7"/>
      <c r="E73" s="7"/>
      <c r="F73" s="7"/>
      <c r="G73" s="7">
        <v>15</v>
      </c>
      <c r="H73" t="s">
        <v>312</v>
      </c>
      <c r="I73" t="s">
        <v>16</v>
      </c>
      <c r="J73" t="s">
        <v>17</v>
      </c>
      <c r="K73" s="64" t="s">
        <v>63</v>
      </c>
    </row>
    <row r="74" spans="1:16" x14ac:dyDescent="0.3">
      <c r="A74">
        <v>72</v>
      </c>
      <c r="B74">
        <v>94</v>
      </c>
      <c r="C74" s="10" t="s">
        <v>313</v>
      </c>
      <c r="D74" s="8"/>
      <c r="G74" s="8">
        <v>20</v>
      </c>
      <c r="H74" t="s">
        <v>312</v>
      </c>
      <c r="I74" t="s">
        <v>16</v>
      </c>
      <c r="J74" t="s">
        <v>47</v>
      </c>
      <c r="K74" s="64" t="s">
        <v>63</v>
      </c>
    </row>
    <row r="75" spans="1:16" x14ac:dyDescent="0.3">
      <c r="A75">
        <v>73</v>
      </c>
      <c r="B75">
        <v>95</v>
      </c>
      <c r="C75" s="10" t="s">
        <v>314</v>
      </c>
      <c r="D75" s="9"/>
      <c r="G75">
        <v>16</v>
      </c>
      <c r="H75" t="s">
        <v>312</v>
      </c>
      <c r="I75" t="s">
        <v>16</v>
      </c>
      <c r="J75" t="s">
        <v>17</v>
      </c>
      <c r="K75" s="64" t="s">
        <v>63</v>
      </c>
    </row>
    <row r="76" spans="1:16" x14ac:dyDescent="0.3">
      <c r="C76" s="11"/>
      <c r="D76" s="8"/>
    </row>
  </sheetData>
  <autoFilter ref="A1:P76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T99"/>
  <sheetViews>
    <sheetView tabSelected="1" topLeftCell="A69" workbookViewId="0">
      <selection activeCell="F103" sqref="F103"/>
    </sheetView>
  </sheetViews>
  <sheetFormatPr baseColWidth="10" defaultColWidth="11.44140625" defaultRowHeight="14.4" x14ac:dyDescent="0.3"/>
  <cols>
    <col min="2" max="2" width="39.33203125" customWidth="1"/>
    <col min="3" max="3" width="8.88671875" hidden="1" customWidth="1"/>
    <col min="4" max="4" width="13.44140625" style="20" customWidth="1"/>
    <col min="5" max="5" width="11.44140625" style="20"/>
    <col min="6" max="6" width="16.44140625" bestFit="1" customWidth="1"/>
    <col min="7" max="7" width="16" bestFit="1" customWidth="1"/>
  </cols>
  <sheetData>
    <row r="4" spans="1:7" x14ac:dyDescent="0.3">
      <c r="A4" t="s">
        <v>315</v>
      </c>
      <c r="B4" s="21" t="s">
        <v>316</v>
      </c>
      <c r="C4" s="21"/>
      <c r="D4" s="22" t="s">
        <v>317</v>
      </c>
      <c r="E4" s="22" t="s">
        <v>318</v>
      </c>
      <c r="F4" s="21" t="s">
        <v>319</v>
      </c>
      <c r="G4" s="21" t="s">
        <v>320</v>
      </c>
    </row>
    <row r="5" spans="1:7" x14ac:dyDescent="0.3">
      <c r="A5" t="s">
        <v>321</v>
      </c>
      <c r="B5" s="23" t="s">
        <v>322</v>
      </c>
      <c r="C5" s="24">
        <v>12</v>
      </c>
      <c r="D5" s="22">
        <v>35</v>
      </c>
      <c r="E5" s="22"/>
      <c r="F5" s="23" t="s">
        <v>44</v>
      </c>
      <c r="G5" s="21"/>
    </row>
    <row r="6" spans="1:7" x14ac:dyDescent="0.3">
      <c r="A6" t="s">
        <v>321</v>
      </c>
      <c r="B6" s="23" t="s">
        <v>89</v>
      </c>
      <c r="C6" s="24">
        <v>13.178000000000001</v>
      </c>
      <c r="D6" s="22">
        <v>13</v>
      </c>
      <c r="E6" s="22"/>
      <c r="F6" s="23" t="s">
        <v>93</v>
      </c>
      <c r="G6" s="21"/>
    </row>
    <row r="7" spans="1:7" x14ac:dyDescent="0.3">
      <c r="A7" t="s">
        <v>321</v>
      </c>
      <c r="B7" s="25" t="s">
        <v>119</v>
      </c>
      <c r="C7" s="24">
        <v>17.577999999999999</v>
      </c>
      <c r="D7" s="22">
        <v>20</v>
      </c>
      <c r="E7" s="22"/>
      <c r="F7" s="25" t="s">
        <v>93</v>
      </c>
      <c r="G7" s="21"/>
    </row>
    <row r="8" spans="1:7" x14ac:dyDescent="0.3">
      <c r="A8" t="s">
        <v>321</v>
      </c>
      <c r="B8" s="23" t="s">
        <v>170</v>
      </c>
      <c r="C8" s="24">
        <v>8.7780000000000005</v>
      </c>
      <c r="D8" s="22">
        <v>18</v>
      </c>
      <c r="E8" s="22"/>
      <c r="F8" s="23" t="s">
        <v>93</v>
      </c>
      <c r="G8" s="21"/>
    </row>
    <row r="9" spans="1:7" x14ac:dyDescent="0.3">
      <c r="A9" t="s">
        <v>321</v>
      </c>
      <c r="B9" s="25" t="s">
        <v>181</v>
      </c>
      <c r="C9" s="24">
        <v>8.7780000000000005</v>
      </c>
      <c r="D9" s="22">
        <v>20</v>
      </c>
      <c r="E9" s="22"/>
      <c r="F9" s="25" t="s">
        <v>93</v>
      </c>
      <c r="G9" s="21"/>
    </row>
    <row r="10" spans="1:7" x14ac:dyDescent="0.3">
      <c r="A10" t="s">
        <v>321</v>
      </c>
      <c r="B10" s="23" t="s">
        <v>185</v>
      </c>
      <c r="C10" s="24">
        <v>17.577999999999999</v>
      </c>
      <c r="D10" s="22">
        <v>25</v>
      </c>
      <c r="E10" s="22"/>
      <c r="F10" s="23" t="s">
        <v>93</v>
      </c>
      <c r="G10" s="21"/>
    </row>
    <row r="11" spans="1:7" x14ac:dyDescent="0.3">
      <c r="A11" t="s">
        <v>321</v>
      </c>
      <c r="B11" s="25" t="s">
        <v>197</v>
      </c>
      <c r="C11" s="24">
        <v>15.378</v>
      </c>
      <c r="D11" s="22">
        <v>30</v>
      </c>
      <c r="E11" s="22"/>
      <c r="F11" s="25" t="s">
        <v>93</v>
      </c>
      <c r="G11" s="21"/>
    </row>
    <row r="12" spans="1:7" x14ac:dyDescent="0.3">
      <c r="A12" t="s">
        <v>321</v>
      </c>
      <c r="B12" s="25" t="s">
        <v>323</v>
      </c>
      <c r="C12" s="24">
        <v>15.135999999999999</v>
      </c>
      <c r="D12" s="22">
        <v>20</v>
      </c>
      <c r="E12" s="22"/>
      <c r="F12" s="21" t="s">
        <v>93</v>
      </c>
      <c r="G12" s="21"/>
    </row>
    <row r="13" spans="1:7" x14ac:dyDescent="0.3">
      <c r="A13" t="s">
        <v>321</v>
      </c>
      <c r="B13" s="25" t="s">
        <v>256</v>
      </c>
      <c r="C13" s="24">
        <v>13.156000000000001</v>
      </c>
      <c r="D13" s="22">
        <v>25</v>
      </c>
      <c r="E13" s="22"/>
      <c r="F13" s="25" t="s">
        <v>93</v>
      </c>
      <c r="G13" s="21"/>
    </row>
    <row r="14" spans="1:7" x14ac:dyDescent="0.3">
      <c r="A14" t="s">
        <v>321</v>
      </c>
      <c r="B14" s="23" t="s">
        <v>269</v>
      </c>
      <c r="C14" s="24">
        <v>11.418000000000001</v>
      </c>
      <c r="D14" s="22">
        <v>30</v>
      </c>
      <c r="E14" s="22"/>
      <c r="F14" s="23" t="s">
        <v>93</v>
      </c>
      <c r="G14" s="21"/>
    </row>
    <row r="15" spans="1:7" x14ac:dyDescent="0.3">
      <c r="A15" t="s">
        <v>321</v>
      </c>
      <c r="B15" s="23" t="s">
        <v>256</v>
      </c>
      <c r="C15" s="24">
        <v>26.312000000000001</v>
      </c>
      <c r="D15" s="22">
        <v>30</v>
      </c>
      <c r="E15" s="22"/>
      <c r="F15" s="23" t="s">
        <v>93</v>
      </c>
      <c r="G15" s="21"/>
    </row>
    <row r="16" spans="1:7" x14ac:dyDescent="0.3">
      <c r="A16" t="s">
        <v>321</v>
      </c>
      <c r="B16" s="25" t="s">
        <v>304</v>
      </c>
      <c r="C16" s="24">
        <v>13.112</v>
      </c>
      <c r="D16" s="22">
        <v>15</v>
      </c>
      <c r="E16" s="22"/>
      <c r="F16" s="25" t="s">
        <v>93</v>
      </c>
      <c r="G16" s="21"/>
    </row>
    <row r="17" spans="1:10" x14ac:dyDescent="0.3">
      <c r="A17" t="s">
        <v>321</v>
      </c>
      <c r="B17" s="23" t="s">
        <v>308</v>
      </c>
      <c r="C17" s="24">
        <v>8.5359999999999996</v>
      </c>
      <c r="D17" s="22">
        <v>15</v>
      </c>
      <c r="E17" s="22"/>
      <c r="F17" s="23" t="s">
        <v>93</v>
      </c>
      <c r="G17" s="21"/>
    </row>
    <row r="18" spans="1:10" x14ac:dyDescent="0.3">
      <c r="A18" t="s">
        <v>321</v>
      </c>
      <c r="B18" s="21" t="s">
        <v>324</v>
      </c>
      <c r="C18" s="26">
        <f>SUM(C5:C17)</f>
        <v>180.93800000000002</v>
      </c>
      <c r="D18" s="22">
        <v>30</v>
      </c>
      <c r="E18" s="22"/>
      <c r="F18" s="21"/>
      <c r="G18" s="21"/>
    </row>
    <row r="19" spans="1:10" x14ac:dyDescent="0.3">
      <c r="A19" t="s">
        <v>321</v>
      </c>
      <c r="B19" s="21" t="s">
        <v>325</v>
      </c>
      <c r="C19" s="21"/>
      <c r="D19" s="22">
        <v>20</v>
      </c>
      <c r="E19" s="22"/>
      <c r="F19" s="21"/>
      <c r="G19" s="21"/>
      <c r="J19" s="20">
        <f>+E20+E21+E31+E53+E61</f>
        <v>431</v>
      </c>
    </row>
    <row r="20" spans="1:10" x14ac:dyDescent="0.3">
      <c r="B20" s="21" t="s">
        <v>326</v>
      </c>
      <c r="C20" s="21"/>
      <c r="D20" s="22"/>
      <c r="E20" s="22">
        <v>220</v>
      </c>
      <c r="F20" s="21"/>
      <c r="G20" s="21" t="s">
        <v>327</v>
      </c>
      <c r="J20" s="20">
        <f>+E34+E44+E56+E59</f>
        <v>105</v>
      </c>
    </row>
    <row r="21" spans="1:10" x14ac:dyDescent="0.3">
      <c r="B21" s="21" t="s">
        <v>326</v>
      </c>
      <c r="C21" s="21"/>
      <c r="D21" s="22"/>
      <c r="E21" s="22">
        <v>126</v>
      </c>
      <c r="F21" s="21"/>
      <c r="G21" s="21" t="s">
        <v>327</v>
      </c>
    </row>
    <row r="22" spans="1:10" x14ac:dyDescent="0.3">
      <c r="A22" t="s">
        <v>328</v>
      </c>
      <c r="B22" s="25" t="s">
        <v>225</v>
      </c>
      <c r="C22" s="24">
        <v>25</v>
      </c>
      <c r="D22" s="22">
        <v>25</v>
      </c>
      <c r="E22" s="22"/>
      <c r="F22" s="21" t="s">
        <v>228</v>
      </c>
      <c r="G22" s="21"/>
    </row>
    <row r="23" spans="1:10" x14ac:dyDescent="0.3">
      <c r="A23" t="s">
        <v>328</v>
      </c>
      <c r="B23" s="23" t="s">
        <v>260</v>
      </c>
      <c r="C23" s="24">
        <v>12</v>
      </c>
      <c r="D23" s="22">
        <v>12</v>
      </c>
      <c r="E23" s="22"/>
      <c r="F23" s="21" t="s">
        <v>228</v>
      </c>
      <c r="G23" s="21"/>
    </row>
    <row r="24" spans="1:10" x14ac:dyDescent="0.3">
      <c r="A24" t="s">
        <v>328</v>
      </c>
      <c r="B24" s="23" t="s">
        <v>276</v>
      </c>
      <c r="C24" s="24">
        <v>20</v>
      </c>
      <c r="D24" s="22">
        <v>20</v>
      </c>
      <c r="E24" s="22"/>
      <c r="F24" s="21" t="s">
        <v>228</v>
      </c>
      <c r="G24" s="21"/>
    </row>
    <row r="25" spans="1:10" x14ac:dyDescent="0.3">
      <c r="A25" t="s">
        <v>328</v>
      </c>
      <c r="B25" s="23" t="s">
        <v>329</v>
      </c>
      <c r="C25" s="24">
        <v>20</v>
      </c>
      <c r="D25" s="22">
        <v>20</v>
      </c>
      <c r="E25" s="22"/>
      <c r="F25" s="21" t="s">
        <v>228</v>
      </c>
      <c r="G25" s="21"/>
    </row>
    <row r="26" spans="1:10" x14ac:dyDescent="0.3">
      <c r="B26" s="23" t="s">
        <v>330</v>
      </c>
      <c r="C26" s="24"/>
      <c r="D26" s="22">
        <v>-7</v>
      </c>
      <c r="E26" s="22"/>
      <c r="F26" s="21" t="s">
        <v>228</v>
      </c>
      <c r="G26" s="21"/>
      <c r="H26" s="20"/>
    </row>
    <row r="27" spans="1:10" x14ac:dyDescent="0.3">
      <c r="A27" t="s">
        <v>328</v>
      </c>
      <c r="B27" s="23" t="s">
        <v>98</v>
      </c>
      <c r="C27" s="24">
        <v>22</v>
      </c>
      <c r="D27" s="22">
        <v>22</v>
      </c>
      <c r="E27" s="22"/>
      <c r="F27" s="21" t="s">
        <v>331</v>
      </c>
      <c r="G27" s="21"/>
    </row>
    <row r="28" spans="1:10" x14ac:dyDescent="0.3">
      <c r="A28" t="s">
        <v>328</v>
      </c>
      <c r="B28" s="25" t="s">
        <v>126</v>
      </c>
      <c r="C28" s="24">
        <v>18</v>
      </c>
      <c r="D28" s="22">
        <v>18</v>
      </c>
      <c r="E28" s="22"/>
      <c r="F28" s="21" t="s">
        <v>331</v>
      </c>
      <c r="G28" s="21"/>
    </row>
    <row r="29" spans="1:10" x14ac:dyDescent="0.3">
      <c r="A29" t="s">
        <v>328</v>
      </c>
      <c r="B29" s="23" t="s">
        <v>14</v>
      </c>
      <c r="C29" s="24">
        <v>25</v>
      </c>
      <c r="D29" s="22">
        <v>25</v>
      </c>
      <c r="E29" s="22"/>
      <c r="F29" s="23" t="s">
        <v>22</v>
      </c>
      <c r="G29" s="21"/>
    </row>
    <row r="30" spans="1:10" x14ac:dyDescent="0.3">
      <c r="A30" t="s">
        <v>321</v>
      </c>
      <c r="B30" s="25" t="s">
        <v>332</v>
      </c>
      <c r="C30" s="24">
        <v>20</v>
      </c>
      <c r="D30" s="22">
        <v>20</v>
      </c>
      <c r="E30" s="22"/>
      <c r="F30" s="25" t="s">
        <v>22</v>
      </c>
      <c r="G30" s="21"/>
    </row>
    <row r="31" spans="1:10" x14ac:dyDescent="0.3">
      <c r="B31" s="21" t="s">
        <v>326</v>
      </c>
      <c r="C31" s="21"/>
      <c r="D31" s="22"/>
      <c r="E31" s="22">
        <v>20</v>
      </c>
      <c r="F31" s="21"/>
      <c r="G31" s="21" t="s">
        <v>327</v>
      </c>
    </row>
    <row r="32" spans="1:10" x14ac:dyDescent="0.3">
      <c r="A32" t="s">
        <v>328</v>
      </c>
      <c r="B32" s="23" t="s">
        <v>29</v>
      </c>
      <c r="C32" s="24">
        <v>30</v>
      </c>
      <c r="D32" s="22">
        <v>30</v>
      </c>
      <c r="E32" s="22"/>
      <c r="F32" s="23" t="s">
        <v>33</v>
      </c>
      <c r="G32" s="21"/>
    </row>
    <row r="33" spans="1:7" x14ac:dyDescent="0.3">
      <c r="A33" t="s">
        <v>328</v>
      </c>
      <c r="B33" s="23" t="s">
        <v>333</v>
      </c>
      <c r="C33" s="24"/>
      <c r="D33" s="22">
        <v>30</v>
      </c>
      <c r="E33" s="22"/>
      <c r="F33" s="23"/>
      <c r="G33" s="21"/>
    </row>
    <row r="34" spans="1:7" x14ac:dyDescent="0.3">
      <c r="A34" t="s">
        <v>321</v>
      </c>
      <c r="B34" s="27" t="s">
        <v>29</v>
      </c>
      <c r="C34" s="24">
        <v>30</v>
      </c>
      <c r="D34" s="22">
        <v>30</v>
      </c>
      <c r="E34" s="22"/>
      <c r="F34" s="25" t="s">
        <v>38</v>
      </c>
      <c r="G34" s="21" t="s">
        <v>334</v>
      </c>
    </row>
    <row r="35" spans="1:7" x14ac:dyDescent="0.3">
      <c r="B35" s="27" t="s">
        <v>335</v>
      </c>
      <c r="C35" s="24"/>
      <c r="D35" s="22"/>
      <c r="E35" s="22">
        <v>30</v>
      </c>
      <c r="F35" s="25"/>
      <c r="G35" s="21"/>
    </row>
    <row r="36" spans="1:7" x14ac:dyDescent="0.3">
      <c r="A36" t="s">
        <v>328</v>
      </c>
      <c r="B36" s="25" t="s">
        <v>84</v>
      </c>
      <c r="C36" s="24">
        <v>18</v>
      </c>
      <c r="D36" s="22">
        <v>18</v>
      </c>
      <c r="E36" s="22"/>
      <c r="F36" s="25" t="s">
        <v>87</v>
      </c>
      <c r="G36" s="21"/>
    </row>
    <row r="37" spans="1:7" x14ac:dyDescent="0.3">
      <c r="A37" t="s">
        <v>328</v>
      </c>
      <c r="B37" s="23" t="s">
        <v>138</v>
      </c>
      <c r="C37" s="24">
        <v>15</v>
      </c>
      <c r="D37" s="22">
        <v>15</v>
      </c>
      <c r="E37" s="22"/>
      <c r="F37" s="23" t="s">
        <v>87</v>
      </c>
      <c r="G37" s="21"/>
    </row>
    <row r="38" spans="1:7" x14ac:dyDescent="0.3">
      <c r="A38" t="s">
        <v>321</v>
      </c>
      <c r="B38" s="23" t="s">
        <v>154</v>
      </c>
      <c r="C38" s="24">
        <v>5</v>
      </c>
      <c r="D38" s="22">
        <v>5</v>
      </c>
      <c r="E38" s="22"/>
      <c r="F38" s="23" t="s">
        <v>87</v>
      </c>
      <c r="G38" s="21"/>
    </row>
    <row r="39" spans="1:7" x14ac:dyDescent="0.3">
      <c r="A39" t="s">
        <v>328</v>
      </c>
      <c r="B39" s="25" t="s">
        <v>189</v>
      </c>
      <c r="C39" s="24">
        <v>15</v>
      </c>
      <c r="D39" s="22">
        <v>15</v>
      </c>
      <c r="E39" s="22"/>
      <c r="F39" s="28" t="s">
        <v>87</v>
      </c>
      <c r="G39" s="21"/>
    </row>
    <row r="40" spans="1:7" x14ac:dyDescent="0.3">
      <c r="A40" t="s">
        <v>321</v>
      </c>
      <c r="B40" s="25" t="s">
        <v>332</v>
      </c>
      <c r="C40" s="24">
        <v>20</v>
      </c>
      <c r="D40" s="22">
        <v>20</v>
      </c>
      <c r="E40" s="22"/>
      <c r="F40" s="28" t="s">
        <v>87</v>
      </c>
      <c r="G40" s="21"/>
    </row>
    <row r="41" spans="1:7" x14ac:dyDescent="0.3">
      <c r="B41" s="25" t="s">
        <v>336</v>
      </c>
      <c r="C41" s="24"/>
      <c r="D41" s="22"/>
      <c r="E41" s="22">
        <v>25</v>
      </c>
      <c r="F41" s="28"/>
      <c r="G41" s="21" t="s">
        <v>327</v>
      </c>
    </row>
    <row r="42" spans="1:7" x14ac:dyDescent="0.3">
      <c r="A42" t="s">
        <v>321</v>
      </c>
      <c r="B42" s="25" t="s">
        <v>296</v>
      </c>
      <c r="C42" s="24">
        <v>25</v>
      </c>
      <c r="D42" s="22">
        <v>30</v>
      </c>
      <c r="E42" s="22"/>
      <c r="F42" s="25" t="s">
        <v>299</v>
      </c>
      <c r="G42" s="21"/>
    </row>
    <row r="43" spans="1:7" x14ac:dyDescent="0.3">
      <c r="A43" t="s">
        <v>328</v>
      </c>
      <c r="B43" s="25" t="s">
        <v>337</v>
      </c>
      <c r="C43" s="29">
        <v>16</v>
      </c>
      <c r="D43" s="22">
        <v>16</v>
      </c>
      <c r="E43" s="22"/>
      <c r="F43" s="21" t="s">
        <v>299</v>
      </c>
      <c r="G43" s="21"/>
    </row>
    <row r="44" spans="1:7" x14ac:dyDescent="0.3">
      <c r="B44" s="21" t="s">
        <v>326</v>
      </c>
      <c r="C44" s="21"/>
      <c r="D44" s="22"/>
      <c r="E44" s="22">
        <v>30</v>
      </c>
      <c r="F44" s="21" t="s">
        <v>338</v>
      </c>
      <c r="G44" s="21" t="s">
        <v>334</v>
      </c>
    </row>
    <row r="45" spans="1:7" x14ac:dyDescent="0.3">
      <c r="A45" t="s">
        <v>328</v>
      </c>
      <c r="B45" s="21" t="s">
        <v>339</v>
      </c>
      <c r="C45" s="21"/>
      <c r="D45" s="22">
        <v>30</v>
      </c>
      <c r="E45" s="22"/>
      <c r="F45" s="21" t="s">
        <v>340</v>
      </c>
      <c r="G45" s="21"/>
    </row>
    <row r="46" spans="1:7" x14ac:dyDescent="0.3">
      <c r="A46" t="s">
        <v>328</v>
      </c>
      <c r="B46" s="21" t="s">
        <v>341</v>
      </c>
      <c r="C46" s="21"/>
      <c r="D46" s="22">
        <v>30</v>
      </c>
      <c r="E46" s="22"/>
      <c r="F46" s="21" t="s">
        <v>342</v>
      </c>
      <c r="G46" s="21"/>
    </row>
    <row r="47" spans="1:7" x14ac:dyDescent="0.3">
      <c r="A47" t="s">
        <v>328</v>
      </c>
      <c r="B47" s="21" t="s">
        <v>343</v>
      </c>
      <c r="C47" s="21"/>
      <c r="D47" s="22">
        <v>15</v>
      </c>
      <c r="E47" s="22"/>
      <c r="F47" s="21" t="s">
        <v>342</v>
      </c>
      <c r="G47" s="21"/>
    </row>
    <row r="48" spans="1:7" x14ac:dyDescent="0.3">
      <c r="A48" t="s">
        <v>328</v>
      </c>
      <c r="B48" s="21" t="s">
        <v>344</v>
      </c>
      <c r="C48" s="21"/>
      <c r="D48" s="22">
        <v>15</v>
      </c>
      <c r="E48" s="22"/>
      <c r="F48" s="21" t="s">
        <v>342</v>
      </c>
      <c r="G48" s="21"/>
    </row>
    <row r="49" spans="1:20" x14ac:dyDescent="0.3">
      <c r="A49" t="s">
        <v>321</v>
      </c>
      <c r="B49" s="21" t="s">
        <v>345</v>
      </c>
      <c r="C49" s="21"/>
      <c r="D49" s="22">
        <v>20</v>
      </c>
      <c r="E49" s="22"/>
      <c r="F49" s="21" t="s">
        <v>346</v>
      </c>
      <c r="G49" s="21"/>
    </row>
    <row r="50" spans="1:20" x14ac:dyDescent="0.3">
      <c r="A50" t="s">
        <v>321</v>
      </c>
      <c r="B50" s="21" t="s">
        <v>347</v>
      </c>
      <c r="C50" s="21"/>
      <c r="D50" s="22">
        <v>30</v>
      </c>
      <c r="E50" s="22"/>
      <c r="F50" s="21" t="s">
        <v>346</v>
      </c>
      <c r="G50" s="21"/>
      <c r="K50" s="2"/>
      <c r="N50" s="2"/>
      <c r="O50" s="2"/>
      <c r="P50" s="2"/>
      <c r="Q50" s="5"/>
      <c r="R50" s="2"/>
      <c r="S50" s="2"/>
      <c r="T50" s="2"/>
    </row>
    <row r="51" spans="1:20" x14ac:dyDescent="0.3">
      <c r="A51" t="s">
        <v>328</v>
      </c>
      <c r="B51" s="21" t="s">
        <v>348</v>
      </c>
      <c r="C51" s="21"/>
      <c r="D51" s="22">
        <v>10</v>
      </c>
      <c r="E51" s="22"/>
      <c r="F51" s="21" t="s">
        <v>346</v>
      </c>
      <c r="G51" s="21"/>
      <c r="K51" s="2"/>
      <c r="N51" s="2"/>
      <c r="O51" s="2"/>
      <c r="P51" s="2"/>
      <c r="Q51" s="5"/>
      <c r="R51" s="2"/>
      <c r="S51" s="2"/>
      <c r="T51" s="2"/>
    </row>
    <row r="52" spans="1:20" x14ac:dyDescent="0.3">
      <c r="A52" t="s">
        <v>328</v>
      </c>
      <c r="B52" s="21" t="s">
        <v>349</v>
      </c>
      <c r="C52" s="21"/>
      <c r="D52" s="22">
        <v>20</v>
      </c>
      <c r="E52" s="22"/>
      <c r="F52" s="21" t="s">
        <v>346</v>
      </c>
      <c r="G52" s="21"/>
      <c r="K52" s="2"/>
      <c r="N52" s="2"/>
      <c r="O52" s="2"/>
      <c r="P52" s="2"/>
      <c r="Q52" s="5"/>
      <c r="R52" s="2"/>
      <c r="S52" s="2"/>
      <c r="T52" s="2"/>
    </row>
    <row r="53" spans="1:20" x14ac:dyDescent="0.3">
      <c r="B53" s="21" t="s">
        <v>335</v>
      </c>
      <c r="C53" s="21"/>
      <c r="D53" s="22"/>
      <c r="E53" s="22">
        <v>50</v>
      </c>
      <c r="F53" s="21" t="s">
        <v>346</v>
      </c>
      <c r="G53" s="21" t="s">
        <v>327</v>
      </c>
      <c r="K53" s="2"/>
      <c r="N53" s="4"/>
      <c r="O53" s="4"/>
      <c r="P53" s="2"/>
      <c r="Q53" s="5"/>
      <c r="R53" s="2"/>
      <c r="S53" s="2"/>
      <c r="T53" s="2"/>
    </row>
    <row r="54" spans="1:20" x14ac:dyDescent="0.3">
      <c r="A54" t="s">
        <v>321</v>
      </c>
      <c r="B54" s="21" t="s">
        <v>350</v>
      </c>
      <c r="C54" s="21"/>
      <c r="D54" s="22">
        <v>25</v>
      </c>
      <c r="E54" s="22"/>
      <c r="F54" s="21" t="s">
        <v>51</v>
      </c>
      <c r="G54" s="21"/>
      <c r="K54" s="2"/>
      <c r="N54" s="2"/>
      <c r="O54" s="2"/>
      <c r="P54" s="2"/>
      <c r="Q54" s="5"/>
      <c r="R54" s="2"/>
      <c r="S54" s="2"/>
      <c r="T54" s="2"/>
    </row>
    <row r="55" spans="1:20" x14ac:dyDescent="0.3">
      <c r="A55" t="s">
        <v>321</v>
      </c>
      <c r="B55" s="21" t="s">
        <v>349</v>
      </c>
      <c r="C55" s="21"/>
      <c r="D55" s="22">
        <v>20</v>
      </c>
      <c r="E55" s="22"/>
      <c r="F55" s="21" t="s">
        <v>51</v>
      </c>
      <c r="G55" s="21"/>
      <c r="K55" s="2"/>
      <c r="N55" s="2"/>
      <c r="O55" s="2"/>
      <c r="P55" s="2"/>
      <c r="Q55" s="5"/>
      <c r="R55" s="2"/>
      <c r="S55" s="2"/>
      <c r="T55" s="2"/>
    </row>
    <row r="56" spans="1:20" x14ac:dyDescent="0.3">
      <c r="B56" s="21" t="s">
        <v>335</v>
      </c>
      <c r="C56" s="21"/>
      <c r="D56" s="22"/>
      <c r="E56" s="22">
        <v>45</v>
      </c>
      <c r="F56" s="21" t="s">
        <v>51</v>
      </c>
      <c r="G56" s="21" t="s">
        <v>334</v>
      </c>
      <c r="K56" s="2"/>
      <c r="N56" s="2"/>
      <c r="O56" s="2"/>
      <c r="P56" s="2"/>
      <c r="Q56" s="5"/>
      <c r="R56" s="2"/>
      <c r="S56" s="2"/>
      <c r="T56" s="2"/>
    </row>
    <row r="57" spans="1:20" x14ac:dyDescent="0.3">
      <c r="A57" t="s">
        <v>321</v>
      </c>
      <c r="B57" s="21" t="s">
        <v>351</v>
      </c>
      <c r="C57" s="21"/>
      <c r="D57" s="22">
        <v>15</v>
      </c>
      <c r="E57" s="22"/>
      <c r="F57" s="21" t="s">
        <v>352</v>
      </c>
      <c r="G57" s="21"/>
      <c r="I57" s="19"/>
      <c r="K57" s="4"/>
      <c r="N57" s="4"/>
      <c r="O57" s="4"/>
      <c r="P57" s="4"/>
      <c r="Q57" s="5"/>
      <c r="R57" s="4"/>
      <c r="S57" s="4"/>
      <c r="T57" s="4"/>
    </row>
    <row r="58" spans="1:20" x14ac:dyDescent="0.3">
      <c r="A58" t="s">
        <v>321</v>
      </c>
      <c r="B58" s="30" t="s">
        <v>353</v>
      </c>
      <c r="C58" s="30"/>
      <c r="D58" s="31">
        <v>15</v>
      </c>
      <c r="E58" s="31"/>
      <c r="F58" s="30" t="s">
        <v>352</v>
      </c>
      <c r="G58" s="30"/>
    </row>
    <row r="59" spans="1:20" x14ac:dyDescent="0.3">
      <c r="B59" s="21" t="s">
        <v>335</v>
      </c>
      <c r="C59" s="21"/>
      <c r="D59" s="22"/>
      <c r="E59" s="22">
        <v>30</v>
      </c>
      <c r="F59" s="21" t="s">
        <v>352</v>
      </c>
      <c r="G59" s="21" t="s">
        <v>334</v>
      </c>
    </row>
    <row r="60" spans="1:20" x14ac:dyDescent="0.3">
      <c r="A60" t="s">
        <v>321</v>
      </c>
      <c r="B60" s="21" t="s">
        <v>354</v>
      </c>
      <c r="C60" s="21"/>
      <c r="D60" s="22">
        <v>15</v>
      </c>
      <c r="E60" s="22"/>
      <c r="F60" s="21" t="s">
        <v>355</v>
      </c>
      <c r="G60" s="21"/>
    </row>
    <row r="61" spans="1:20" x14ac:dyDescent="0.3">
      <c r="B61" s="21" t="s">
        <v>335</v>
      </c>
      <c r="C61" s="21"/>
      <c r="D61" s="22"/>
      <c r="E61" s="22">
        <v>15</v>
      </c>
      <c r="F61" s="21"/>
      <c r="G61" s="21" t="s">
        <v>327</v>
      </c>
    </row>
    <row r="62" spans="1:20" x14ac:dyDescent="0.3">
      <c r="A62" t="s">
        <v>328</v>
      </c>
      <c r="B62" s="21" t="s">
        <v>356</v>
      </c>
      <c r="C62" s="21"/>
      <c r="D62" s="22">
        <v>35</v>
      </c>
      <c r="E62" s="22"/>
      <c r="F62" s="21" t="s">
        <v>357</v>
      </c>
      <c r="G62" s="21"/>
    </row>
    <row r="63" spans="1:20" x14ac:dyDescent="0.3">
      <c r="A63" t="s">
        <v>328</v>
      </c>
      <c r="B63" s="21" t="s">
        <v>62</v>
      </c>
      <c r="C63" s="21"/>
      <c r="D63" s="22">
        <v>16</v>
      </c>
      <c r="E63" s="22"/>
      <c r="F63" s="21" t="s">
        <v>357</v>
      </c>
      <c r="G63" s="21"/>
    </row>
    <row r="64" spans="1:20" x14ac:dyDescent="0.3">
      <c r="A64" t="s">
        <v>328</v>
      </c>
      <c r="B64" s="21" t="s">
        <v>84</v>
      </c>
      <c r="C64" s="21"/>
      <c r="D64" s="22">
        <v>20</v>
      </c>
      <c r="E64" s="22"/>
      <c r="F64" s="21" t="s">
        <v>357</v>
      </c>
      <c r="G64" s="21"/>
    </row>
    <row r="65" spans="1:7" x14ac:dyDescent="0.3">
      <c r="A65" t="s">
        <v>328</v>
      </c>
      <c r="B65" s="21" t="s">
        <v>78</v>
      </c>
      <c r="C65" s="21"/>
      <c r="D65" s="22">
        <v>20</v>
      </c>
      <c r="E65" s="22"/>
      <c r="F65" s="21" t="s">
        <v>357</v>
      </c>
      <c r="G65" s="21"/>
    </row>
    <row r="66" spans="1:7" x14ac:dyDescent="0.3">
      <c r="A66" t="s">
        <v>328</v>
      </c>
      <c r="B66" s="21" t="s">
        <v>358</v>
      </c>
      <c r="C66" s="21"/>
      <c r="D66" s="22">
        <v>20</v>
      </c>
      <c r="E66" s="22"/>
      <c r="F66" s="21" t="s">
        <v>357</v>
      </c>
      <c r="G66" s="21"/>
    </row>
    <row r="67" spans="1:7" x14ac:dyDescent="0.3">
      <c r="A67" t="s">
        <v>328</v>
      </c>
      <c r="B67" s="21" t="s">
        <v>234</v>
      </c>
      <c r="C67" s="21"/>
      <c r="D67" s="22">
        <v>15</v>
      </c>
      <c r="E67" s="22"/>
      <c r="F67" s="21" t="s">
        <v>357</v>
      </c>
      <c r="G67" s="21"/>
    </row>
    <row r="68" spans="1:7" x14ac:dyDescent="0.3">
      <c r="A68" t="s">
        <v>328</v>
      </c>
      <c r="B68" s="21" t="s">
        <v>332</v>
      </c>
      <c r="C68" s="21"/>
      <c r="D68" s="22">
        <v>20</v>
      </c>
      <c r="E68" s="22"/>
      <c r="F68" s="21" t="s">
        <v>357</v>
      </c>
      <c r="G68" s="21"/>
    </row>
    <row r="69" spans="1:7" x14ac:dyDescent="0.3">
      <c r="A69" t="s">
        <v>328</v>
      </c>
      <c r="B69" s="21" t="s">
        <v>252</v>
      </c>
      <c r="C69" s="21"/>
      <c r="D69" s="22">
        <v>20</v>
      </c>
      <c r="E69" s="22"/>
      <c r="F69" s="21" t="s">
        <v>357</v>
      </c>
      <c r="G69" s="21"/>
    </row>
    <row r="70" spans="1:7" x14ac:dyDescent="0.3">
      <c r="B70" s="32" t="s">
        <v>359</v>
      </c>
      <c r="C70" s="33"/>
      <c r="D70" s="34">
        <f>SUM(D5:D69)</f>
        <v>1136</v>
      </c>
      <c r="E70" s="34">
        <f>SUM(E5:E61)</f>
        <v>591</v>
      </c>
      <c r="F70" s="35">
        <f>+D70-E70</f>
        <v>545</v>
      </c>
      <c r="G70" s="50"/>
    </row>
    <row r="71" spans="1:7" x14ac:dyDescent="0.3">
      <c r="B71" s="36"/>
      <c r="C71" s="37"/>
      <c r="D71" s="38"/>
      <c r="E71" s="38"/>
      <c r="F71" s="39"/>
      <c r="G71" s="50"/>
    </row>
    <row r="72" spans="1:7" x14ac:dyDescent="0.3">
      <c r="B72" s="50"/>
      <c r="C72" s="50"/>
      <c r="D72" s="51"/>
      <c r="E72" s="51"/>
      <c r="F72" s="50"/>
      <c r="G72" s="50"/>
    </row>
    <row r="73" spans="1:7" x14ac:dyDescent="0.3">
      <c r="B73" s="50"/>
      <c r="C73" s="50"/>
      <c r="D73" s="51"/>
      <c r="E73" s="51"/>
      <c r="F73" s="50"/>
      <c r="G73" s="50"/>
    </row>
    <row r="74" spans="1:7" x14ac:dyDescent="0.3">
      <c r="B74" s="50"/>
      <c r="C74" s="50"/>
      <c r="D74" s="51"/>
      <c r="E74" s="51"/>
      <c r="F74" s="50"/>
      <c r="G74" s="50"/>
    </row>
    <row r="75" spans="1:7" x14ac:dyDescent="0.3">
      <c r="B75" s="50"/>
      <c r="C75" s="50"/>
      <c r="D75" s="51"/>
      <c r="E75" s="51"/>
      <c r="F75" s="50"/>
      <c r="G75" s="50"/>
    </row>
    <row r="76" spans="1:7" x14ac:dyDescent="0.3">
      <c r="B76" s="50"/>
      <c r="C76" s="50"/>
      <c r="D76" s="51"/>
      <c r="E76" s="51"/>
      <c r="F76" s="50"/>
      <c r="G76" s="50"/>
    </row>
    <row r="80" spans="1:7" ht="18" x14ac:dyDescent="0.35">
      <c r="B80" s="65" t="s">
        <v>360</v>
      </c>
      <c r="C80" s="66"/>
      <c r="D80" s="67"/>
    </row>
    <row r="81" spans="2:5" ht="18" x14ac:dyDescent="0.35">
      <c r="B81" s="40" t="s">
        <v>361</v>
      </c>
      <c r="C81" s="41"/>
      <c r="D81" s="42">
        <f>+D70</f>
        <v>1136</v>
      </c>
    </row>
    <row r="82" spans="2:5" ht="15.6" x14ac:dyDescent="0.3">
      <c r="B82" s="43" t="s">
        <v>362</v>
      </c>
      <c r="C82" s="44"/>
      <c r="D82" s="45">
        <v>135</v>
      </c>
    </row>
    <row r="83" spans="2:5" ht="15.6" x14ac:dyDescent="0.3">
      <c r="B83" s="43" t="s">
        <v>363</v>
      </c>
      <c r="C83" s="44"/>
      <c r="D83" s="63">
        <f>431+25</f>
        <v>456</v>
      </c>
    </row>
    <row r="84" spans="2:5" ht="15.6" x14ac:dyDescent="0.3">
      <c r="B84" s="43" t="s">
        <v>364</v>
      </c>
      <c r="C84" s="44"/>
      <c r="D84" s="45">
        <f>SUM(D82:D83)</f>
        <v>591</v>
      </c>
    </row>
    <row r="85" spans="2:5" ht="15.6" x14ac:dyDescent="0.3">
      <c r="B85" s="43" t="s">
        <v>365</v>
      </c>
      <c r="C85" s="44"/>
      <c r="D85" s="45">
        <f>+F70</f>
        <v>545</v>
      </c>
    </row>
    <row r="86" spans="2:5" ht="15.6" x14ac:dyDescent="0.3">
      <c r="B86" s="46" t="s">
        <v>366</v>
      </c>
      <c r="C86" s="47"/>
      <c r="D86" s="48">
        <v>7</v>
      </c>
    </row>
    <row r="88" spans="2:5" x14ac:dyDescent="0.3">
      <c r="B88" s="68" t="s">
        <v>367</v>
      </c>
      <c r="C88" s="68"/>
      <c r="D88" s="68"/>
      <c r="E88" s="68"/>
    </row>
    <row r="89" spans="2:5" x14ac:dyDescent="0.3">
      <c r="B89" s="53" t="s">
        <v>368</v>
      </c>
      <c r="C89" s="54"/>
      <c r="D89" s="55">
        <v>70</v>
      </c>
      <c r="E89" s="56"/>
    </row>
    <row r="90" spans="2:5" x14ac:dyDescent="0.3">
      <c r="B90" s="57" t="s">
        <v>369</v>
      </c>
      <c r="C90" s="52">
        <v>18</v>
      </c>
      <c r="D90" s="51">
        <v>40</v>
      </c>
      <c r="E90" s="58"/>
    </row>
    <row r="91" spans="2:5" x14ac:dyDescent="0.3">
      <c r="B91" s="59" t="s">
        <v>370</v>
      </c>
      <c r="C91" s="52">
        <v>25</v>
      </c>
      <c r="D91" s="51">
        <v>25</v>
      </c>
      <c r="E91" s="58"/>
    </row>
    <row r="92" spans="2:5" x14ac:dyDescent="0.3">
      <c r="B92" s="59" t="s">
        <v>371</v>
      </c>
      <c r="C92" s="52">
        <v>30</v>
      </c>
      <c r="D92" s="51">
        <v>60</v>
      </c>
      <c r="E92" s="58"/>
    </row>
    <row r="93" spans="2:5" x14ac:dyDescent="0.3">
      <c r="B93" s="60" t="s">
        <v>372</v>
      </c>
      <c r="C93" s="52">
        <v>20</v>
      </c>
      <c r="D93" s="51">
        <f>73-25</f>
        <v>48</v>
      </c>
      <c r="E93" s="58"/>
    </row>
    <row r="94" spans="2:5" x14ac:dyDescent="0.3">
      <c r="B94" s="57" t="s">
        <v>338</v>
      </c>
      <c r="C94" s="9">
        <v>16</v>
      </c>
      <c r="D94" s="51">
        <v>16</v>
      </c>
      <c r="E94" s="58"/>
    </row>
    <row r="95" spans="2:5" x14ac:dyDescent="0.3">
      <c r="B95" s="57" t="s">
        <v>373</v>
      </c>
      <c r="C95" s="50"/>
      <c r="D95" s="51">
        <v>60</v>
      </c>
      <c r="E95" s="58"/>
    </row>
    <row r="96" spans="2:5" x14ac:dyDescent="0.3">
      <c r="B96" s="57" t="s">
        <v>346</v>
      </c>
      <c r="C96" s="50"/>
      <c r="D96" s="51">
        <v>30</v>
      </c>
      <c r="E96" s="58"/>
    </row>
    <row r="97" spans="2:6" x14ac:dyDescent="0.3">
      <c r="B97" s="57" t="s">
        <v>374</v>
      </c>
      <c r="C97" s="50"/>
      <c r="D97" s="51">
        <v>30</v>
      </c>
      <c r="E97" s="58"/>
    </row>
    <row r="98" spans="2:6" x14ac:dyDescent="0.3">
      <c r="B98" s="36" t="s">
        <v>51</v>
      </c>
      <c r="C98" s="37"/>
      <c r="D98" s="51">
        <v>166</v>
      </c>
      <c r="E98" s="61"/>
      <c r="F98" s="20"/>
    </row>
    <row r="99" spans="2:6" ht="18" x14ac:dyDescent="0.35">
      <c r="D99" s="62">
        <f>SUM(D89:D98)</f>
        <v>545</v>
      </c>
    </row>
  </sheetData>
  <autoFilter ref="A2:G116" xr:uid="{00000000-0001-0000-0100-000000000000}"/>
  <mergeCells count="2">
    <mergeCell ref="B80:D80"/>
    <mergeCell ref="B88:E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</vt:lpstr>
      <vt:lpstr>Ventas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Marco Perero</cp:lastModifiedBy>
  <cp:revision/>
  <dcterms:created xsi:type="dcterms:W3CDTF">2026-04-28T00:00:29Z</dcterms:created>
  <dcterms:modified xsi:type="dcterms:W3CDTF">2026-06-01T23:24:59Z</dcterms:modified>
  <cp:category/>
  <cp:contentStatus/>
</cp:coreProperties>
</file>